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Questa_cartella_di_lavoro"/>
  <mc:AlternateContent xmlns:mc="http://schemas.openxmlformats.org/markup-compatibility/2006">
    <mc:Choice Requires="x15">
      <x15ac:absPath xmlns:x15ac="http://schemas.microsoft.com/office/spreadsheetml/2010/11/ac" url="https://auditservicecertificatio538-my.sharepoint.com/personal/a_pace_asc_sm/Documents/Lavoro/norme/sicurezza informazioni/27701/TRANSITION/"/>
    </mc:Choice>
  </mc:AlternateContent>
  <xr:revisionPtr revIDLastSave="0" documentId="8_{326B3F8C-D99C-411E-BE23-C641171D4B3A}" xr6:coauthVersionLast="47" xr6:coauthVersionMax="47" xr10:uidLastSave="{00000000-0000-0000-0000-000000000000}"/>
  <bookViews>
    <workbookView xWindow="-104" yWindow="-104" windowWidth="22326" windowHeight="11947" tabRatio="848" activeTab="4" xr2:uid="{04E52C23-E1AC-4796-BAC7-BD4A608656C6}"/>
  </bookViews>
  <sheets>
    <sheet name="4. Analisi del Contesto" sheetId="1" r:id="rId1"/>
    <sheet name="5. Leadership" sheetId="2" r:id="rId2"/>
    <sheet name="6. Pianificazione" sheetId="3" r:id="rId3"/>
    <sheet name="7. Supporto" sheetId="4" r:id="rId4"/>
    <sheet name="8. Att. Operative" sheetId="16" r:id="rId5"/>
    <sheet name="8. Att. Operative - PR 2" sheetId="5" state="hidden" r:id="rId6"/>
    <sheet name="8. Att. Operative - PR 3" sheetId="17" state="hidden" r:id="rId7"/>
    <sheet name="8. Att. Operative - PR 4" sheetId="20" state="hidden" r:id="rId8"/>
    <sheet name="8. Att. Operative - PR 5" sheetId="21" state="hidden" r:id="rId9"/>
    <sheet name="9. Monitoraggio" sheetId="6" r:id="rId10"/>
    <sheet name="10. Miglioramento continui" sheetId="7" r:id="rId11"/>
    <sheet name="Rilievi" sheetId="14" r:id="rId12"/>
  </sheets>
  <definedNames>
    <definedName name="_xlnm._FilterDatabase" localSheetId="0" hidden="1">'4. Analisi del Contesto'!$D$2:$D$6</definedName>
    <definedName name="_xlnm._FilterDatabase" localSheetId="11" hidden="1">Rilievi!$B$2:$E$82</definedName>
    <definedName name="_xleta.IF" hidden="1" xlm="1">#NAME?</definedName>
    <definedName name="_xleta.OR" hidden="1" xlm="1">#NAME?</definedName>
    <definedName name="_xleta.SORT" hidden="1" xlm="1">#NAME?</definedName>
    <definedName name="_xleta.VSTACK"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4" l="1" a="1"/>
  <c r="B3" i="14" s="1"/>
  <c r="I2" i="14" l="1"/>
  <c r="I3" i="14"/>
  <c r="I4"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tc={CDFF9C1E-F4EC-407E-9F71-4F1605495BF4}</author>
  </authors>
  <commentList>
    <comment ref="C21" authorId="0" shapeId="0" xr:uid="{CDFF9C1E-F4EC-407E-9F71-4F1605495BF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La larghezza della riga non consente di leggere completamente il testo. Ho sintetizzato il testo per migliorarne la lettura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39C880B-53C4-408D-9778-7F46CC6E801F}" keepAlive="1" name="Query - Tabella4 (3)" description="Connessione alla query 'Tabella4 (3)' nella cartella di lavoro." type="5" refreshedVersion="8" background="1" saveData="1">
    <dbPr connection="Provider=Microsoft.Mashup.OleDb.1;Data Source=$Workbook$;Location=&quot;Tabella4 (3)&quot;;Extended Properties=&quot;&quot;" command="SELECT * FROM [Tabella4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<sst xmlns="http://schemas.openxmlformats.org/spreadsheetml/2006/main" count="1593" uniqueCount="441">
  <si>
    <t>Colonna1</t>
  </si>
  <si>
    <t>NCMin</t>
  </si>
  <si>
    <t>Standard</t>
  </si>
  <si>
    <t>Req.</t>
  </si>
  <si>
    <t>Domanda</t>
  </si>
  <si>
    <t>Esito</t>
  </si>
  <si>
    <t>4.1</t>
  </si>
  <si>
    <t xml:space="preserve">5.1 </t>
  </si>
  <si>
    <t>4.2</t>
  </si>
  <si>
    <t xml:space="preserve">5.2 </t>
  </si>
  <si>
    <t>5.1</t>
  </si>
  <si>
    <t>5.2.1</t>
  </si>
  <si>
    <t>4.2.2</t>
  </si>
  <si>
    <t>4.3</t>
  </si>
  <si>
    <t>I requisiti dichiarati come non applicabili (ai sensi dell’ISO 9001) sono giustificati e non incidono sulla capacità del SG di assicurare la conformità dei prodotti e dei servizi e l’aumento della soddisfazione del cliente?</t>
  </si>
  <si>
    <t>Sono stati presi in considerazione gli obblighi di adeguamento nella definizione del campo di applicazione?</t>
  </si>
  <si>
    <t>5.2.2</t>
  </si>
  <si>
    <t>4.4</t>
  </si>
  <si>
    <t>4.2.1</t>
  </si>
  <si>
    <t>ISO 37301</t>
  </si>
  <si>
    <t>4.5</t>
  </si>
  <si>
    <t>4.5.1</t>
  </si>
  <si>
    <t>4.5.2</t>
  </si>
  <si>
    <t>Sono stati stabiliti dei criteri per valutare il proprio livello di rischio di corruzione, che deve tenere in considerazione le politiche e gli obiettivi dell'organizzazione?</t>
  </si>
  <si>
    <t>4.5.3</t>
  </si>
  <si>
    <t>La valutazione del rischio di corruzione è sottoposta a riesame a cadenze regolari in modo da poter valutare accuratamente i cambiamenti e le nuove informazioni in base a tempistiche e frequenze definite dall'organizzazione e/o in caso di un cambiamento significativo alla struttura alle attività dell'organizzazione?</t>
  </si>
  <si>
    <t>4.5.4</t>
  </si>
  <si>
    <t>L’organizzazione conserva informazioni documentate che dimostrano che la valutazione del rischio di corruzione sia stata condotta e utilizzata per progettare o migliorare il sistema di gestione per la prevenzione della corruzione?</t>
  </si>
  <si>
    <t>Req</t>
  </si>
  <si>
    <t>Descrizione</t>
  </si>
  <si>
    <t>Grado</t>
  </si>
  <si>
    <t>Oss</t>
  </si>
  <si>
    <t>5.1.1</t>
  </si>
  <si>
    <t>5.1.2</t>
  </si>
  <si>
    <t>5.1.3</t>
  </si>
  <si>
    <t>5.3</t>
  </si>
  <si>
    <t>5.3.3</t>
  </si>
  <si>
    <t>5.3.4</t>
  </si>
  <si>
    <t xml:space="preserve">Il top management dimostra impegno per il PIMS (es. partecipazione a riunioni, assegnazione di risorse)? </t>
  </si>
  <si>
    <t>Evidenze</t>
  </si>
  <si>
    <t>5.3.2</t>
  </si>
  <si>
    <t>Il top management dimostra impegno per il PIMS (es. partecipazione a riunioni, assegnazione di risorse)?</t>
  </si>
  <si>
    <t>6.1</t>
  </si>
  <si>
    <t>6.1.2</t>
  </si>
  <si>
    <t>Sono pianificate azioni di trattamento dei rischi e delle opportunità e modalità d’integrazione e implementazione di tali azioni nel sistema di gestione?</t>
  </si>
  <si>
    <t xml:space="preserve">6.1.3 </t>
  </si>
  <si>
    <t>Sono disponibili informazioni documentate relative a: rischi e opportunità, processi di identificazione degli stessi e la pianificazione delle azioni?</t>
  </si>
  <si>
    <t>6.4</t>
  </si>
  <si>
    <t>Sono stati determinati gli aspetti connessi ad attività, prodotti, servizi e loro impatti associati?</t>
  </si>
  <si>
    <t>6.3</t>
  </si>
  <si>
    <t>Nella determinazione degli impatti ambientali è stata considerata la prospettiva del ciclo di vita?</t>
  </si>
  <si>
    <t>Sono stati determinati gli aspetti ambientali significativi utilizzando dei criteri stabiliti?</t>
  </si>
  <si>
    <t>6.5</t>
  </si>
  <si>
    <t>6.6</t>
  </si>
  <si>
    <t>ISO14001
ISO45001</t>
  </si>
  <si>
    <t>6.1.3</t>
  </si>
  <si>
    <t>6.2</t>
  </si>
  <si>
    <t>Gli obiettivi pianificati:
Sono coerenti con la politica?
Sono misurabili?
tengono in considerazione i requisiti applicabili?
Sono monitorati?
sono comunicati?
sono aggiornati per quanto appropriato?</t>
  </si>
  <si>
    <t>L’Organizzazione conserva le informazioni documentate degli obiettivi?</t>
  </si>
  <si>
    <t>L’organizzazione:
Ha indicato cosa sarà fatto?
Sono state definite le risorse?
Ha definito il responsabile?
Ha definito quando sarà completato?
Ha definito come e quando saranno valutati i risultati?</t>
  </si>
  <si>
    <t>L’organizzazione pianifica azioni per il trattamento degli aspetti ambientali significativi, degli obblighi di conformazione, dei rischi e delle opportunità, pianifica la loro integrazione e attuazione nel SG o altri processi, compresa la valutazione della loro efficacia?</t>
  </si>
  <si>
    <t>L’organizzazione prende in considerazione la pianificazione delle modifiche al SG</t>
  </si>
  <si>
    <r>
      <rPr>
        <b/>
        <sz val="11"/>
        <color theme="1"/>
        <rFont val="Aptos Narrow"/>
        <family val="2"/>
        <scheme val="minor"/>
      </rPr>
      <t>Indicatori della prestazione energetica</t>
    </r>
    <r>
      <rPr>
        <sz val="11"/>
        <color theme="1"/>
        <rFont val="Aptos Narrow"/>
        <family val="2"/>
        <scheme val="minor"/>
      </rPr>
      <t xml:space="preserve">
Sono stati determinati gli Indicatori della prestazione energetica (EnPi)
Sono disponibili informazioni documentate?</t>
    </r>
  </si>
  <si>
    <r>
      <rPr>
        <b/>
        <sz val="11"/>
        <color theme="1"/>
        <rFont val="Aptos Narrow"/>
        <family val="2"/>
        <scheme val="minor"/>
      </rPr>
      <t>Consumo di riferimento</t>
    </r>
    <r>
      <rPr>
        <sz val="11"/>
        <color theme="1"/>
        <rFont val="Aptos Narrow"/>
        <family val="2"/>
        <scheme val="minor"/>
      </rPr>
      <t xml:space="preserve">
Sono stati stabiliti (1 o più) EnB utilizzando le informazioni ricavate dall’analisi energetica (ISO50001)
Sono disponibili informazioni documentate?</t>
    </r>
  </si>
  <si>
    <r>
      <rPr>
        <b/>
        <sz val="11"/>
        <color theme="1"/>
        <rFont val="Aptos Narrow"/>
        <family val="2"/>
        <scheme val="minor"/>
      </rPr>
      <t>Pianificazione della raccolta dati energetici</t>
    </r>
    <r>
      <rPr>
        <sz val="11"/>
        <color theme="1"/>
        <rFont val="Aptos Narrow"/>
        <family val="2"/>
        <scheme val="minor"/>
      </rPr>
      <t xml:space="preserve">
Pianificazione della raccolta dati energetici, l’organizzazione ha assicurato che le caratteristiche chiavi delle sue operazioni che influenzano la prestazione energetica siano identificate, misurate, monitorate ed analizzate ad intervalli pianificati. 					</t>
    </r>
  </si>
  <si>
    <r>
      <t>L’organizzazione ha definito e attuato un piano di raccolta dei dati energetici secondo le sue dimensioni?
Sono disponibili</t>
    </r>
    <r>
      <rPr>
        <sz val="11"/>
        <color rgb="FFFF0000"/>
        <rFont val="Aptos Narrow"/>
        <family val="2"/>
        <scheme val="minor"/>
      </rPr>
      <t xml:space="preserve"> informazioni documentate?</t>
    </r>
  </si>
  <si>
    <t>7.1</t>
  </si>
  <si>
    <r>
      <rPr>
        <b/>
        <sz val="10"/>
        <color rgb="FF000000"/>
        <rFont val="Arial"/>
        <family val="2"/>
      </rPr>
      <t>Coordinamento</t>
    </r>
    <r>
      <rPr>
        <sz val="10"/>
        <color rgb="FF000000"/>
        <rFont val="Arial"/>
        <family val="2"/>
      </rPr>
      <t xml:space="preserve">
L’organizzazione coordina con i pertinenti livelli e funzioni dell’organizzazione e con le parti interessate a ottenere i potenziali benefici, le azioni di RTS da intraprendere. La direzione assicura che vi siano idonee forme di consultazione e coordinamento interne ed esterne per raggiungere gli obiettivi e i traguardi stabiliti di RTS</t>
    </r>
  </si>
  <si>
    <t>7.1.3</t>
  </si>
  <si>
    <t>7.1.4</t>
  </si>
  <si>
    <r>
      <rPr>
        <b/>
        <sz val="10"/>
        <color rgb="FF000000"/>
        <rFont val="Arial"/>
        <family val="2"/>
      </rPr>
      <t>Ambiente per il funzionamento dei processi:</t>
    </r>
    <r>
      <rPr>
        <sz val="10"/>
        <color rgb="FF000000"/>
        <rFont val="Arial"/>
        <family val="2"/>
      </rPr>
      <t xml:space="preserve">
L'organizzazione ha determinato, messo a disposizione e mantiene l'ambiente necessario per il funzionamento dei suoi processi e per conseguire la conformità dei prodotti e servizi?
-	sociale (per esempio condizioni non discriminatorie, tranquille, non conflittuali);
-	psicologica (per esempio riduzione dello stress, prevenzione del burnout, protezione emotiva);
-	fisica (per esempio temperatura, calore, umidità, illuminazione, flusso d'aria, igiene, rumore).</t>
    </r>
  </si>
  <si>
    <t>7.1.5.1</t>
  </si>
  <si>
    <t>Sono disponibili risorse di monitoraggio e misurazione idonee per verificare la conformità dei prodotti e dei servizi?</t>
  </si>
  <si>
    <t>7.1.5.2</t>
  </si>
  <si>
    <r>
      <t xml:space="preserve">Sono disponibili </t>
    </r>
    <r>
      <rPr>
        <sz val="10"/>
        <color rgb="FFFF0000"/>
        <rFont val="Arial"/>
        <family val="2"/>
      </rPr>
      <t>informazioni documentate</t>
    </r>
    <r>
      <rPr>
        <sz val="10"/>
        <color rgb="FF000000"/>
        <rFont val="Arial"/>
        <family val="2"/>
      </rPr>
      <t xml:space="preserve"> relative all’adeguamento delle risorse di monitoraggio e misurazione al loro scopo?</t>
    </r>
  </si>
  <si>
    <t>(es.: procedura, documenti che specificano che risorse sono necessarie per il monitoraggio e misurazione corretta, la registrazione degli EMM per processi, la competenza del personale impiegato nelle attività di monitoraggio e misurazione, l'analisi dei risultati dei fornitori utilizzati ecc.):</t>
  </si>
  <si>
    <t>7.1.6</t>
  </si>
  <si>
    <t>Sono disponibili le conoscenze organizzative necessarie per il funzionamento dei processi e la realizzazione della conformità dei prodotti e dei servizi?</t>
  </si>
  <si>
    <t>7.2</t>
  </si>
  <si>
    <t>L'organizzazione ha determinato le competenze necessarie di coloro che possono influenzare le prestazioni e l’efficacia del sistema di gestione e della capacità di soddisfare gli obblighi di adeguamento?</t>
  </si>
  <si>
    <t>L'organizzazione garantisce che le persone siano competenti sulla base di studi, formazione o esperienza?</t>
  </si>
  <si>
    <t>L’organizzazione intraprende azioni di acquisto della competenza necessaria (ove applicabile) e valuta l'efficacia delle azioni intraprese?</t>
  </si>
  <si>
    <t>L'organizzazione garantisce che vengano attribuite responsabilità e autorità?</t>
  </si>
  <si>
    <t>Sono state nominate responsabilità e autorità per il sistema di gestione?</t>
  </si>
  <si>
    <t>7.2.1
7.2.2</t>
  </si>
  <si>
    <t>7.3</t>
  </si>
  <si>
    <t>L’organizzazione si assicura che le persone che lavorano sotto il suo controllo sono consapevoli in merito alla politica, agli obiettivi, al loro contributo all’efficacia del sistema di gestione e le conseguenze della non conformità ai requisiti del sistema di gestione?</t>
  </si>
  <si>
    <t>7.4</t>
  </si>
  <si>
    <t>Sono state determinate le comunicazioni interne ed esterne rilevanti per il sistema di gestione, partecipazione e consulenza? (compreso cosa, quando, con chi, come e chi comunica)</t>
  </si>
  <si>
    <t>Sono ritenute informazioni documentate come prova delle comunicazioni?</t>
  </si>
  <si>
    <t>L'organizzazione mantiene un processo di consultazione e partecipazione dei responsabili delle decisioni a tutti i livelli e per tutte le posizioni?</t>
  </si>
  <si>
    <t>7.5</t>
  </si>
  <si>
    <t>7.6</t>
  </si>
  <si>
    <t>È assicurato il controllo delle informazioni documentate (Creazione, aggiornamento, trasmissione, accesso, recupero, uso, deposito, protezione, controllo modifiche, stoccaggio e eliminazione)?</t>
  </si>
  <si>
    <t>8.2</t>
  </si>
  <si>
    <t>8.3</t>
  </si>
  <si>
    <t>8.4</t>
  </si>
  <si>
    <t>8.5</t>
  </si>
  <si>
    <t>8.6</t>
  </si>
  <si>
    <t>8.7</t>
  </si>
  <si>
    <t>Impegni per la prevenzione della corruzione</t>
  </si>
  <si>
    <t>Regali, ospitalità, donazioni e benefici simili</t>
  </si>
  <si>
    <t>8.8</t>
  </si>
  <si>
    <t>Gestione dell’inadeguatezza dei controlli per la prevenzione della corruzione</t>
  </si>
  <si>
    <t>Atti autorizzativi</t>
  </si>
  <si>
    <t>Data acquisizione commessa</t>
  </si>
  <si>
    <t>Stato Commessa</t>
  </si>
  <si>
    <t>9.1</t>
  </si>
  <si>
    <t>L’organizzazione misura le prestazioni e l'efficacia del sistema di gestione?</t>
  </si>
  <si>
    <t>L’organizzazione ha determinato che cosa si deve misurare e monitorare, i metodi di monitoraggio, misurazione e valutazione, i criteri della valutazione, la frequenza della misurazione e del monitoraggio e i termini per l’analisi e la valutazione dei risultati?</t>
  </si>
  <si>
    <r>
      <t xml:space="preserve">Sono mantenute </t>
    </r>
    <r>
      <rPr>
        <sz val="11"/>
        <color rgb="FFFF0000"/>
        <rFont val="Aptos Narrow"/>
        <family val="2"/>
        <scheme val="minor"/>
      </rPr>
      <t>informazioni documentate</t>
    </r>
    <r>
      <rPr>
        <sz val="11"/>
        <color theme="1"/>
        <rFont val="Aptos Narrow"/>
        <family val="2"/>
        <scheme val="minor"/>
      </rPr>
      <t xml:space="preserve"> in merito ai risultati della misurazione, del monitoraggio, dell’analisi e della valutazione?</t>
    </r>
  </si>
  <si>
    <t>Prestazioni rispetto ai principi fondamentali di sviluppo sostenibile (ISO 20121)</t>
  </si>
  <si>
    <t>9.1.2</t>
  </si>
  <si>
    <t>L’organizzazione monitora la percezione dei clienti in merito alla misura in cui sono state adempiute le loro necessità e aspettative?</t>
  </si>
  <si>
    <t>9.1.3</t>
  </si>
  <si>
    <t>9.1.4</t>
  </si>
  <si>
    <t>9.1.5</t>
  </si>
  <si>
    <t>9.2</t>
  </si>
  <si>
    <t>La pianificazione degli audit interni tiene presenti i rischi relativi alle attività e ai processi sottoposti ad audit?</t>
  </si>
  <si>
    <t>Il programma di audit interno include la frequenza, i metodi, le responsabilità, i requisiti di pianificazione e rendicontazione e prende in considerazione l’importanza dei processi, le modifiche che incidono sull’organizzazione e i risultati degli audit precedenti?</t>
  </si>
  <si>
    <t>9.3</t>
  </si>
  <si>
    <t>I dati di entrata nell’analisi di gestione includono le informazioni richieste dalle norme di riferimento?</t>
  </si>
  <si>
    <t>Gli elementi di uscita includono le informazioni richieste dalle norme di riferimento?</t>
  </si>
  <si>
    <t>È stato pianificato e svolto il Riesame da parte dell'organo direttivo?</t>
  </si>
  <si>
    <t>10.2</t>
  </si>
  <si>
    <t xml:space="preserve">L’organizzazione ha determinato i fattori esterni e interni rilevanti per le sue finalità e indirizzi strategici e che possono influenzare la sua capacità di conseguire il(i) risultato(i) atteso(i) per il proprio sistema di gestione? </t>
  </si>
  <si>
    <t>Le parti interessate rilevanti per il sistema di gestione e le aspettative delle stesse sono state identificate?</t>
  </si>
  <si>
    <t>L'organizzazione ha determinato i confini e l'applicabilità del sistema di gestione per stabilirne il campo di applicazione? È disponibile come informazione documentata?</t>
  </si>
  <si>
    <t>L'organizzazione ha stabilito, implementato, mantenuto e migliorato continuamente il SG, i processi necessari e la loro interazione in conformità agli standard?</t>
  </si>
  <si>
    <t xml:space="preserve">L'organizzazione ha determinato, implementato e mantiene sotto controllo i processi necessari per il sistema di gestione?
</t>
  </si>
  <si>
    <r>
      <t xml:space="preserve">L’organizzazione </t>
    </r>
    <r>
      <rPr>
        <sz val="9.5"/>
        <color rgb="FF161616"/>
        <rFont val="Arial"/>
        <family val="2"/>
      </rPr>
      <t>mantiene e conserva, ove necessario, informazioni documentate per supportare il funzionamento dei propri processi?</t>
    </r>
  </si>
  <si>
    <t>L'organizzazione ha implementato processi per identificare sistematicamente gli obblighi di compliance derivanti da attività, prodotti e servizi, valutarne l’impatto operativo e mantenerne il controllo nel tempo?In particolare:
a) vengono identificati nuovi obblighi di compliance o modifiche a quelli esistenti su base continuativa?
b) viene valutato l’impatto dei cambiamenti identificati e quali modifiche gestionali vengono attuate per mantenere la conformità?
c) vengono mantenute informazioni documentate per garantire la tracciabilità degli obblighi di compliance?</t>
  </si>
  <si>
    <t>l’organizzazione conduce e aggiorna regolarmente le valutazioni dei rischi di compliance/ anticorruzione, assicurando che i rischi siano sistematicamente identificati, analizzati, prioritarizzati e trattati, sia rispetto alle attività interne che a quelle affidate a terze parti?</t>
  </si>
  <si>
    <t>4.5.1/4.6</t>
  </si>
  <si>
    <t>L’alta direzione dimostra leadership e impegno nel garantire la comprensione e la soddisfazione dei requisiti del cliente? Viene mantenuta nel tempo la focalizzazione sull’aumento della soddisfazione del cliente?</t>
  </si>
  <si>
    <t>L’alta direzione dimostra leadership e impegno attivo nel garantire l’efficacia del sistema di gestione per la prevenzione della corruzione, integrandolo nei processi aziendali, supportando il personale, promuovendo una cultura etica, e assicurando strumenti adeguati di comunicazione, miglioramento e protezione dei segnalanti?
a) Il sistema anticorruzione è stato stabilito, attuato, mantenuto e riesaminato dall’alta direzione in coerenza con rischi, politica e obiettivi?
b) I requisiti del sistema sono integrati nei processi operativi dell’organizzazione?
c) Sono impiegate risorse adeguate e appropriate al funzionamento del sistema anticorruzione?
d) Viene fatta comunicazione interna ed esterna efficace sulla politica anticorruzione?
e) L’importanza della conformità al sistema è comunicata internamente?
f) Il sistema è progettato in modo efficace per raggiungere gli obiettivi previsti?
g) La direzione guida e sostiene il personale nel contribuire all’efficacia del sistema?
h) Viene promossa attivamente una cultura anti-corruzione?
i) Sono promosse azioni di miglioramento continuo del sistema?
j) Gli altri ruoli gestionali sono sostenuti per dimostrare leadership e responsabilità nella prevenzione?
k) Sono incoraggiate le segnalazioni di atti corruttivi tramite canali e procedure specifiche?
l) È assicurato che nessuno subisca ritorsioni per segnalazioni effettuate in buona fede?</t>
  </si>
  <si>
    <t>l’organo direttivo dimostra leadership e impegno nella supervisione del sistema di gestione per la prevenzione della corruzione, garantendone l’allineamento strategico, l’adeguatezza delle risorse, il riesame periodico e la verifica della sua efficacia?
a) L’organo direttivo ha approvato formalmente la politica anticorruzione dell’organizzazione?
b) È verificato che strategia e politica anticorruzione siano allineate tra loro?
c) L’organo riceve, a intervalli programmati, informazioni sul contenuto e sul funzionamento del sistema di gestione anticorruzione, e le sottopone a riesame?
d) Viene richiesta e verificata l’assegnazione di risorse adeguate e appropriate al funzionamento del sistema?
e) È esercitata una sorveglianza ragionevole sull’attuazione del sistema da parte dell’alta direzione e sulla sua efficacia complessiva?</t>
  </si>
  <si>
    <t xml:space="preserve">L’organismo di governo e/o l’alta direzione dimostrano leadership e impegno nel garantire l’efficacia del sistema di gestione per la compliance, assicurando coerenza con i valori organizzativi, integrazione nei processi decisionali, disponibilità di risorse, comunicazione attiva e attenzione alle segnalazioni e alla noncompliance?
Sono stati stabiliti la politica e gli obiettivi per la compliance, coerenti con gli indirizzi strategici?
I requisiti di compliance sono integrati nei processi aziendali?
Le risorse necessarie per il sistema di gestione per la compliance sono identificate e rese disponibili?
Viene comunicata l’importanza della gestione per la compliance e della conformità ai requisiti?
È garantito che il sistema raggiunga i risultati attesi?
Il personale è guidato e supportato nel contribuire all’efficacia del sistema di gestione per la compliance?
Viene promosso il miglioramento continuo?
Altri ruoli gestionali sono supportati nella leadership e responsabilità in materia di compliance?
</t>
  </si>
  <si>
    <t>L’organizzazione sviluppa, mantiene e promuove una cultura della compliance a tutti i livelli, garantendo che organismi di governo, alta direzione e management dimostrino un impegno attivo e coerente nel definire e sostenere standard comportamentali condivisi?</t>
  </si>
  <si>
    <t>L’organismo di governo e l’alta direzione assicurano che la funzione di compliance operi in modo indipendente, con accesso diretto al vertice e con un livello adeguato di autorità e competenza per esercitare efficacemente il proprio ruolo?”</t>
  </si>
  <si>
    <t>E' stata istituita la funzione di conformità (per la prevenzione della corruzione e per la compliance in generale)? l’organizzazione ne garantisce l’autorità, l’indipendenza, le competenze, l’accesso alle informazioni e l’effettiva capacità di esercitare un ruolo attivo e di supervisione a supporto del sistema di gestione?
A supporto della domanda:
Nomina e struttura della funzione
È stata formalmente designata una funzione di conformità/compliance?
Sono chiaramente definiti i ruoli, le responsabilità e l’autorità?
Supervisione e responsabilità
La funzione supervisiona la progettazione, attuazione e mantenimento del sistema?
Ha il compito di monitorare, valutare e riferire sulle performance e criticità?
Indipendenza e accesso
La funzione ha accesso diretto all’alta direzione e/o all’organo direttivo?
È indipendente da influenze indebite nelle sue attività?
Risorse e competenze
Sono assegnate persone qualificate e risorse adeguate alla funzione?
Il personale è competente in materia di leggi, regolamenti e standard applicabili?
Supporto all’organizzazione
Fornisce orientamento e assistenza al personale sui temi della compliance?
È coinvolta nelle fasi iniziali dei processi decisionali?
È in grado di rilevare e trattare le preoccupazioni (whistleblowing, segnalazioni)?
Documentazione e reporting
Sono documentate le attività di valutazione dei rischi e allineamento con obblighi?
Esistono report di compliance periodici? Partecipano al riesame?
Gestione di strutture multiple o esternalizzate (ISO 37001)
In caso di esternalizzazione, come si garantisce che il personale rispetti i requisiti della norma?</t>
  </si>
  <si>
    <t>il management supporta attivamente l’attuazione del sistema di gestione per la compliance, assicurando che i comportamenti, i processi e le prassi operative sotto la propria responsabilità siano coerenti con gli obblighi di compliance, e favorendo la comunicazione, la formazione, la gestione dei rischi e delle azioni correttive?
Supporto alla funzione di compliance
Il management coopera attivamente con la funzione di compliance?
Promuove lo stesso atteggiamento tra i collaboratori?
Conformità nei team sotto responsabilità diretta
Il personale rispetta gli obblighi e le procedure?
Ci sono evidenze di controllo e vigilanza interna?
Gestione dei rischi di compliance
I responsabili identificano e comunicano i rischi nelle proprie aree operative?
Integrazione degli obblighi di compliance nei processi di business
Le attività e i documenti gestiti (procedure, istruzioni, contratti, check list) riflettono requisiti di compliance?
Formazione e competenze
Il management partecipa attivamente alle attività formative?
Sostiene la formazione del personale sulle tematiche di compliance?
Sviluppo della consapevolezza e della cultura
Incoraggia il personale a riconoscere, rispettare e valorizzare la compliance?
Gestione delle preoccupazioni
I collaboratori sono liberi di segnalare questioni senza temere ritorsioni?
Il management sostiene il whistleblowing?
Gestione di incidenti e azioni correttive
Il management partecipa alla risoluzione degli incidenti di compliance?
Le azioni correttive raccomandate vengono attuate tempestivamente?</t>
  </si>
  <si>
    <t>l’organizzazione assicura che tutto il personale sia coinvolto nell’attuazione del sistema di gestione per la compliance, aderendo agli obblighi applicabili, segnalando le problematiche rilevanti e partecipando alle attività di formazione previste?</t>
  </si>
  <si>
    <t xml:space="preserve">l’organizzazione gestisce la delega di poteri decisionali in aree a rischio di corruzione, assicurandosi che il livello di autorità sia adeguato, privo di conflitti di interesse, e sottoposto a controlli e verifiche periodiche da parte dell’alta direzione?
Esistenza di deleghe in contesti a rischio
Sono state delegate decisioni in ambiti o processi dove il rischio di corruzione è superiore al livello basso?
L’organizzazione ha valutato i rischi associati a tali deleghe?
Processo decisionale e controlli
È in atto un processo decisionale formalizzato che preveda:
Verifica dell’adeguatezza del livello di autorità del delegato?
Valutazione e gestione dei conflitti di interesse?
Prescrizioni di controllo interno o dual control?
Supervisione da parte dell’alta direzione
L’alta direzione verifica periodicamente i processi decisionali delegati?
Tali verifiche sono formalmente registrate?
Ruoli e responsabilità
È chiaro che la delega non solleva l’alta direzione dalle responsabilità generali?
Sono definiti limiti, condizioni e modalità di esercizio della delega?
</t>
  </si>
  <si>
    <t>Sono stati determinati i rischi relativi agli obblighi di conformità relativi ai propri aspetti SSL e ambientali ed applicabili alla propria organizzazione?</t>
  </si>
  <si>
    <t>Evidenze (informazioni documentate: Registro dei pericoli e rischi; DVR; Procedura documentata per identificazione pericoli e valutazione rischi; Matrice di valutazione rischio; Verbali o rapporti di valutazione dei rischi e delle opportunità)</t>
  </si>
  <si>
    <t>Evidenze (informazioni documentate:Procedure o istruzioni operative che descrivono il processo di gestione degli obblighi; Registri o "legal registers" aggiornati con date, fonti e tipo di obbligo (legale o volontario); conformità legali quali: aua; aia; MUD; diciarazione conformità impianti; verifica periodica della messa a terra ecc)</t>
  </si>
  <si>
    <t>Evidenze (informazioni documentate: Matrice dei fattori RTS; Elenco degli indicatori di prestazione suddivisi per categoria (esposizione, finale, intermedio) ecc)</t>
  </si>
  <si>
    <r>
      <rPr>
        <b/>
        <sz val="10"/>
        <color rgb="FF000000"/>
        <rFont val="Arial"/>
        <family val="2"/>
      </rPr>
      <t>Infrastruttura</t>
    </r>
    <r>
      <rPr>
        <sz val="10"/>
        <color rgb="FF000000"/>
        <rFont val="Arial"/>
        <family val="2"/>
      </rPr>
      <t xml:space="preserve">
L’organizzazione ha determiato l'infrastruttura necessaria (fabbricati e servizi, equipaggiamenti, risorse per trasporto, IT e comunicazioni) per lo sviluppo dei processi?</t>
    </r>
  </si>
  <si>
    <t>7.2.2</t>
  </si>
  <si>
    <r>
      <rPr>
        <b/>
        <sz val="10"/>
        <color rgb="FF000000"/>
        <rFont val="Arial"/>
        <family val="2"/>
      </rPr>
      <t>Processo di impiego/Processo di assunzione:</t>
    </r>
    <r>
      <rPr>
        <sz val="10"/>
        <color rgb="FF000000"/>
        <rFont val="Arial"/>
        <family val="2"/>
      </rPr>
      <t xml:space="preserve">
Sono stati definiti processi per assicurare che il personale, prima di assumere l’incarico, riceva e comprenda la politica per la prevenzione della corruzione e/o la politica di compliance generale?
Il personale neoassunto riceve copia della politica di prevenzione della corruzione e/o della politica di compliance, oppure vi ha accesso entro un tempo ragionevole dall'assunzione? Tale ricezione è documentata? È inoltre prevista formazione specifica sulla politica ricevuta?
Vengono identificati i ruoli a rischio di corruzione superiore al livello basso? È previsto un processo strutturato di due diligence prima di assunzione/promozione su tali ruoli?
Le condizioni di impiego includono esplicitamente l’obbligo di conformità a politiche, procedure e requisiti in materia di compliance e prevenzione della corruzione?
Sono previste procedure disciplinari in caso di violazione delle politiche di compliance o anticorruzione?
Sono presenti salvaguardie per proteggere il personale da ritorsioni in caso di rifiuto a partecipare ad attività sospette o in caso di segnalazioni di corruzione o non conformità?
Esiste un processo di revisione periodica dei bonus, incentivi e obiettivi di performance per garantire che non inducano comportamenti contrari alla compliance o favoriscano pratiche corruttive?
I dipendenti in ruoli a rischio elevato sottoscrivono dichiarazioni di impegno alla conformità a cadenze regolari?
 </t>
    </r>
  </si>
  <si>
    <t>(es.: procedure documentate, fascicoli delle personali contenenti registrazioni, contratti, Due diligence, la valutazione delle prestazioni dei lavoratori, codici etici e sanzionatori ecc.):</t>
  </si>
  <si>
    <t xml:space="preserve">L'organizzazione assicura che le informazioni documentate richieste dalla norma/norme e quelle necessarie per l’efficace funzionamento del sistema di gestione siano identificate, create, aggiornate, controllate e protette nel tempo, in modo da garantirne l’idoneità, la disponibilità, la riservatezza e l’integrità?
Specificamente:
Viene determinata l’estensione della documentazione in relazione a fattori come dimensione aziendale, complessità dei processi e competenza delle persone? 
Sono state definite modalità per l’identificazione, descrizione, formato, supporto, revisione e approvazione delle informazioni documentate? 
Le informazioni documentate sono rese disponibili, aggiornate, idonee all’uso e protette da uso improprio, perdita o accessi non autorizzati?
L’organizzazione garantisce un controllo efficace tramite attività quali:
gestione della distribuzione e accesso alle informazioni;
archiviazione e leggibilità nel tempo;
controllo delle modifiche (es. storicizzazione, versionamento);
conservazione o eliminazione secondo regole stabilite? </t>
  </si>
  <si>
    <r>
      <t>Evidenze (</t>
    </r>
    <r>
      <rPr>
        <b/>
        <u/>
        <sz val="11"/>
        <color rgb="FFFF0000"/>
        <rFont val="Aptos Narrow"/>
        <family val="2"/>
        <scheme val="minor"/>
      </rPr>
      <t>informazioni documentate</t>
    </r>
    <r>
      <rPr>
        <sz val="11"/>
        <color rgb="FF00B0F0"/>
        <rFont val="Aptos Narrow"/>
        <family val="2"/>
        <scheme val="minor"/>
      </rPr>
      <t xml:space="preserve">: Dichiarazione di intenti e valori): 
</t>
    </r>
  </si>
  <si>
    <t>Identificazione e rintracciabilità</t>
  </si>
  <si>
    <t>Preservazione</t>
  </si>
  <si>
    <t>Rilascio</t>
  </si>
  <si>
    <t>(Es: permesso a costruire, cil, cila ecc)</t>
  </si>
  <si>
    <t>(Es: piano di progetto, GANTT, Riesami, Veriche e Validazioni)</t>
  </si>
  <si>
    <t>(Es: Etichette, codici seriali, registro tracciabilità ecc)</t>
  </si>
  <si>
    <t>(Es: Evidenze stoccaggio corretto, procedure PR, schede ambiente controllato)</t>
  </si>
  <si>
    <t>(Es: registro reclami post-vendita, email supporto clienti ecc)</t>
  </si>
  <si>
    <t>(Es: Verbale di accettazione cliente, documentazione di collaudo, check finale)</t>
  </si>
  <si>
    <t>Emergenze</t>
  </si>
  <si>
    <t>(Es: piani, prove, verbali)</t>
  </si>
  <si>
    <t>8.5.1</t>
  </si>
  <si>
    <t>Fornitori, Acquisti e Certificazioni dei materiali</t>
  </si>
  <si>
    <t>8.5.2</t>
  </si>
  <si>
    <t>8.5.3</t>
  </si>
  <si>
    <t>8.5.4</t>
  </si>
  <si>
    <t>Proprietà del Cliente</t>
  </si>
  <si>
    <t>(Es.: Gestione materiale fornito dal cliente; attrezzature e macchinari forniti dal cliente; File e d informazioni del cliente ecc)</t>
  </si>
  <si>
    <t>Controlli e processi speciali</t>
  </si>
  <si>
    <t xml:space="preserve">(Es: Istruzioni di controllo qualità, check-list ispettive)
(Es. processi speciali: Saldatura; trattamenti termici; Verniciatura e rivestimenti; Incollaggio strutturale; Formazione del personale ; Getto di calcestruzzo strutturale; Impermeabilizzazione di fondazioni o coperture; Posa di isolamenti termici/acustici in intercapedini;  giunzioni di cavi; Cablaggi nei quadri elettrici; Giunzioni filettate, saldature a pressare, raccordi rapidi; Prova di tenuta su tubazioni (aria compressa/acqua) ecc)
</t>
  </si>
  <si>
    <t>Gestione output non conformit</t>
  </si>
  <si>
    <t>(Es.aree di segregazione; blocchi di sistema che impediscono la spedizione; documentazione a supporto ecc)</t>
  </si>
  <si>
    <t xml:space="preserve">Es: Verbali di risk assessment; Check-list di due diligence compilate; Esiti di controlli su persone e organizzazioni; Documenti di background check; </t>
  </si>
  <si>
    <t>Due Diligence</t>
  </si>
  <si>
    <t>Controlli finanziari</t>
  </si>
  <si>
    <t>Controlli non finanziari</t>
  </si>
  <si>
    <t>Es: Procedure di autorizzazione spese; Accessi limitati ai conti; Evidenze separazione funzioni; Tracciabilità spese; doppia approvazione dei pagamenti; uso del contante ecc.</t>
  </si>
  <si>
    <t>Es.: Elenco dei processi operativi e non finanziari soggetti a controllo (es. vendite, approvvigionamenti, logistica, appalti, ecc.); Schede di mappatura rischi di corruzione legati ai processi non finanziari; Protocolli o procedure di controllo per attività non finanziarie (es. procedure per il procurement, la consegna beni/servizi, approvazioni tecniche);
Tracciabilità delle decisioni su assegnazioni di appalti/forniture (verbali di gara, criteri di aggiudicazione, griglie di valutazione);</t>
  </si>
  <si>
    <t>ISO 20121</t>
  </si>
  <si>
    <t>Attuazione dei controlli per la prevenzione della corruzione da parte di organizzazioni controllate e soci in affari</t>
  </si>
  <si>
    <t>Es.: Valutazione dei partner/sussidiarie rispetto alla politica anticorruzion; Contratti con clausole vincolanti anticorruzione; Rapporti di audit/interviste a rappresentanti
- Due diligence sui soci in affari</t>
  </si>
  <si>
    <t>Es.: Dichiarazioni firmate di impegno alla prevenzione della corruzione; Codici etici/disciplinari recepiti dai partner; Clausole contrattuali vincolanti; Moduli di accettazione della policy</t>
  </si>
  <si>
    <t>Es.: Registro di regali/ospitalità ricevuti o concessi; Politiche aziendali su limiti e approvazioni; Autorizzazioni preventive documentate</t>
  </si>
  <si>
    <t>Segnalazione di sospetti (whistleblowing)</t>
  </si>
  <si>
    <t>Es.:  Canali dedicati per segnalazioni (email, telefono, piattaforme anonime);  Procedura di gestione delle segnalazioni; Report periodici su segnalazioni ricevute e trattate; Evidenze di protezione dell’identità del segnalante</t>
  </si>
  <si>
    <t>Es.: Report audit in cui si evidenziano falle nei controlli; Non conformità registrate legate al sistema anticorruzione; Piani CAPA (Corrective and Preventive Actions) ecc</t>
  </si>
  <si>
    <t>Indagini e gestione di casi di corruzione</t>
  </si>
  <si>
    <t>Es.: Procedura per la gestione di segnalazioni e investigazioni; Flusso decisionale approvato con responsabilità chiare; Avvio e conduzione indagine; Registri delle segnalazioni ricevute; Nomina dell’investigatore; Interviste ai soggetti coinvolti; Rapporto finale con prove raccolte, sintesi e conclusioni; Raccomandazioni su azioni disciplinari o di sistema;  Lettere di sanzione/contestazione disciplinare; Comunicazione alle autorità giudiziarie (se applicabile; Modifica dei controlli e riesame dei rischi; Protezione segnalante</t>
  </si>
  <si>
    <t>Es.: Registro dei controlli associati ai rischi di compliance; Matrice rischi/controlli con riferimenti agli obblighi (es. legge 231/01, contratti, normative settoriali); Istruzioni operative per esecuzione e verifica dei controlli;  Piano di test sui controlli chiave di compliance; Descrizione delle modalità di test: walkthrough, test pratico, simulazione, controllo ex post;  Report con risultati dei test di efficacia dei controlli; Check-list compilate con esito del test sul funzionamento dei controlli</t>
  </si>
  <si>
    <t>Definizione di controlli e procedure</t>
  </si>
  <si>
    <t>8.9/8.3</t>
  </si>
  <si>
    <t>8.10/8.4</t>
  </si>
  <si>
    <t>Evidenze (informazioni documentate: Documento “risk alignment matrix” con collegamenti tra rischi e obiettivi; Verbali di riesame strategico dove si discute l’aggiornamento del risk assessment in funzione di policy e obiettivi; Procedura formalizzata per il processo di risk assessment AI Linee guida interne (SOP) con metodologia ripetibile; Modello di valutazione rischio AI standardizzato; Registro rischi AI con indicazione dell’impatto sul raggiungimento degli obiettivi; Schede di valutazione dei rischi in cui si dichiara se il rischio è ostacolante o abilitante; Analisi di impatto strategico dei rischi sugli obiettivi; Analisi d’impatto (es. documento AI impact assessment) Schede rischio con analisi delle categorie di impatto (economico, reputazionale, etico, normativo, sociale, ecc.) Rapporto di valutazione impatti su stakeholder ecc)</t>
  </si>
  <si>
    <t>Evidenze (informazioni documentate: Piano di trattamento dei rischi dell’IA (documentato); Dichiarazione di applicabilità dei controlli IA con giustificazioni; Mappatura dei controlli selezionati vs. Allegato A; Evidenze di confronto e decisioni documentate sui controlli esclusi o aggiuntivi; Verbale di approvazione del piano da parte del management designato; Documento di residual risk acceptance; Registro di valutazione dell’implementazione dei controlli ecc)</t>
  </si>
  <si>
    <t>AI system impact assessment</t>
  </si>
  <si>
    <t>6.1.4</t>
  </si>
  <si>
    <t>Evidenze (informazioni documentate: procedura formalizzata per l’assessment degli impatti dei sistemi di IA;
documentazione di valutazione degli impatti effettuata su progetti, prodotti o sistemi; rapporti di impatto relativi a privacy, sicurezza, inclusione sociale o implicazioni etiche documenti che riportano la valutazione di abuso o uso improprio prevedibile del sistema; analisi del contesto giurisdizionale o normativo applicabile registro o report con riferimento esplicito all’integrazione dei risultati nel risk assessment (6.1.2); verbali o decisioni su comunicazione verso le parti interessate; report integrati da tabelle o checklist in riferimento all’Allegato A.5; piani di mitigazione dei potenziali impatti negativi identificati ecc)</t>
  </si>
  <si>
    <t>20000-1</t>
  </si>
  <si>
    <t>Service delivery</t>
  </si>
  <si>
    <t xml:space="preserve">Es.: Service portfolio; Service catalogue; Piani di gestione dei servizi (service management plans); Documenti di pianificazione servizi attivi e futuri; Asset register e configuration management database (CMDB); Responsabilità assegnate per le attività di erogazione; KPI e report di performance dei servizi; Schede di coordinamento risorse o tool di scheduling (es. Gantt, Kanban, ecc.); Contratti di servizio (SLA/OLA); Verifiche interne sull’erogazione dei servizi; Riunioni documentate di coordinamento operativo; Modelli di gestione della domanda e allocazione risorse
</t>
  </si>
  <si>
    <t>8.2.2</t>
  </si>
  <si>
    <t>Plan Service</t>
  </si>
  <si>
    <t>Control of parties involved in the service lifecycle</t>
  </si>
  <si>
    <t>8.2.3</t>
  </si>
  <si>
    <t xml:space="preserve">Es.:Registro dei servizi e dei componenti forniti da parti esterne o interne
Contratti o accordi di servizio (es. SLA, OLA) con parti coinvolte
Evidenze della valutazione e selezione dei fornitori e partner (criteri applicati)
Documentazione dei processi o sotto-processi gestiti da terze parti
Evidenze di coordinamento operativo tra l’organizzazione e le parti coinvolte (es. verbali, report)
Matrici di responsabilità o RACI aggiornate con ruoli delle parti terze
KPI e metriche di performance applicate a fornitori/partner
Report di monitoraggio sull’efficacia del servizio/prodotto fornito da terzi
Procedure per l’integrazione delle parti terze nel SMS (service management system)
Riesami delle prestazioni di fornitori interni/esterni (audit, valutazioni, follow-up)
Piani di miglioramento o azioni correttive derivanti da scostamenti o non conformità relative a parti esterne
</t>
  </si>
  <si>
    <t xml:space="preserve">Es.: Documentazione dei requisiti di servizio per nuovi, esistenti e modificati servizi; Analisi di criticità dei servizi basata su criteri aziendali e di rischio; Registri o verbali che evidenziano l’identificazione delle dipendenze e duplicazioni tra servizi; Registro delle richieste di cambiamento e delle proposte di nuovi servizi; Matrice o tabella di prioritizzazione dei cambiamenti e nuove implementazioni; Documenti che mostrano l’allineamento dei servizi alla politica e agli obiettivi di gestione dei servizi; Valutazioni dei rischi e dei limiti connessi alle modifiche proposte; Output del processo di change management coerente con le necessità di pianificazione dei servizi; Pianificazione delle risorse in base ai nuovi servizi o modifiche richieste; Flussi di approvazione per modifiche critiche o nuovi servizi, con evidenza di riesame e autorizzazione
</t>
  </si>
  <si>
    <t>Service catalogue management</t>
  </si>
  <si>
    <t>8.2.4</t>
  </si>
  <si>
    <t xml:space="preserve">Es.: Cataloghi dei servizi formalizzati (documenti o strumenti digitali)
Evidenze che i cataloghi contengano informazioni su servizi, risultati attesi, destinatari e dipendenze
Versioni storiche e aggiornamenti del catalogo dei servizi
Comunicazioni/documentazione che dimostrino l’accessibilità dei cataloghi da parte di clienti, utenti o altre parti interessate
Manuali, intranet, portali web o sistemi IT dove i cataloghi sono resi disponibili
Procedure per la gestione, aggiornamento e approvazione del service catalogue
Evidenze di riesame periodico dei cataloghi e delle modifiche apportate
</t>
  </si>
  <si>
    <t>8.2.5</t>
  </si>
  <si>
    <t>Asset Management</t>
  </si>
  <si>
    <t xml:space="preserve">Es.: Inventario aggiornato degli asset impiegati per l’erogazione dei servizi
Policy e procedure di gestione degli asset
Evidenze di assegnazione, utilizzo, manutenzione e dismissione degli asset
Collegamenti tra asset e requisiti del servizio (mapping asset-servizio)
Valutazioni di rischio legate ad asset critici
Risultati di audit interni su gestione degli asset
Evidenze di controllo di accesso e protezione degli asset
Strumenti di tracciamento o gestione degli asset (es. CMDB, database di asset IT)
Evidenze del rispetto degli obblighi richiamati dal punto 6.3 c) (es. requisiti contrattuali, legali, SLA)
</t>
  </si>
  <si>
    <t>8.2.6</t>
  </si>
  <si>
    <t xml:space="preserve">Es.: Registro dei CI (Configuration Items) con identificazione univoca
Schede o record con tipo, descrizione, stato e relazioni tra i CI
CMDB (Configuration Management Database) attiva e gestita
Procedure documentate per il controllo e aggiornamento dei CI
Evidenze di tracciabilità e auditabilità dei cambiamenti sui CI
Log o registrazioni delle modifiche apportate a singoli CI
Report di verifica periodica sull’accuratezza delle informazioni
Evidenze di azioni correttive intraprese in caso di discrepanze o errori
Accessi controllati al sistema di gestione dei CI
Evidenze che le informazioni di configurazione siano disponibili per altri processi SMS (es. incident, change, release)
</t>
  </si>
  <si>
    <t>Configuration management</t>
  </si>
  <si>
    <t>8.3.1</t>
  </si>
  <si>
    <t>Relationship and Agreement - General</t>
  </si>
  <si>
    <t>Es.: Procedure di gestione delle relazioni, ruoli e responsabilità formalizzati, piano di gestione relazioni, verbali di riesame delle relazioni, diagrammi RACI, istruzioni operative</t>
  </si>
  <si>
    <t>8.3.2</t>
  </si>
  <si>
    <t>Business relationship management</t>
  </si>
  <si>
    <t>Es.: Analisi esigenze cliente, report customer satisfaction, verbali di incontri periodici con clienti, registri feedback clienti, piani di comunicazione cliente, azioni correttive collegate a reclami</t>
  </si>
  <si>
    <t>8.3.3</t>
  </si>
  <si>
    <t>Es.: SLA firmati, report monitoraggio SLA, verbali di riesame SLA, dashboard prestazioni servizi, evidenze di revisione SLA (revision history), piani di miglioramento dei livelli di servizio</t>
  </si>
  <si>
    <t>Service level management</t>
  </si>
  <si>
    <t>8.3.4</t>
  </si>
  <si>
    <t>(Es: Qualifica fornitori, Ordini d’acquisto, DDT, certificati materiali ecc)</t>
  </si>
  <si>
    <t>8.4.1</t>
  </si>
  <si>
    <t>Budgeting and accounting for services</t>
  </si>
  <si>
    <t>Es.: Piano di budgeting dei servizi, rendicontazione costi servizi IT, documenti contabili per servizio, report consuntivo budget</t>
  </si>
  <si>
    <t>8.4.2</t>
  </si>
  <si>
    <t>Demand management</t>
  </si>
  <si>
    <t>Es.: Analisi previsionale domanda, documentazione gestione carichi di lavoro, log richieste risorse, report capacity vs domanda</t>
  </si>
  <si>
    <t>8.4.3</t>
  </si>
  <si>
    <t>Capacity management</t>
  </si>
  <si>
    <t>Es.: Capacity plan, grafici di utilizzo risorse, soglie di capacità, record incidenti per sovraccarico, piani di potenziamento</t>
  </si>
  <si>
    <t>Service design and transition</t>
  </si>
  <si>
    <t xml:space="preserve">Es.: </t>
  </si>
  <si>
    <t>Incident management</t>
  </si>
  <si>
    <t>8.6.1</t>
  </si>
  <si>
    <t>Es.: Registro incidenti, ticket con priorità, tempi risoluzione, report incidenti critici, analisi cause radice</t>
  </si>
  <si>
    <t>8.6.2</t>
  </si>
  <si>
    <t>Es.: Registro richieste di servizio, evidenze evasione richieste, SLA applicati, log automatici di processo richieste</t>
  </si>
  <si>
    <t>Service request management</t>
  </si>
  <si>
    <t>8.6.3</t>
  </si>
  <si>
    <t>Problem management</t>
  </si>
  <si>
    <t>Es.:Registro problemi, report cause ricorrenti, azioni preventive documentate, analisi impatto problemi, trend analysis</t>
  </si>
  <si>
    <t>8.7.1</t>
  </si>
  <si>
    <t xml:space="preserve"> Service availability management</t>
  </si>
  <si>
    <t>Es.:Report disponibilità servizio, registro downtime, allarmi e ticket per indisponibilità, obiettivi di disponibilità, piani di continuità</t>
  </si>
  <si>
    <t>8.7.2</t>
  </si>
  <si>
    <t>Service continuity management</t>
  </si>
  <si>
    <t>Es.: Piano continuità operativa, test di disaster recovery, analisi BIA, verbali simulazioni emergenza, procedure di backup</t>
  </si>
  <si>
    <t>8.7.3</t>
  </si>
  <si>
    <t>Information security management</t>
  </si>
  <si>
    <t>Es.: Politiche di sicurezza, piani di accesso/log, registro eventi di sicurezza, analisi rischi sicurezza, misure tecniche e organizzative</t>
  </si>
  <si>
    <t>AI risk assessment</t>
  </si>
  <si>
    <t>Es.: Procedura di valutazione del rischio AI formalmente definita, documenti che dimostrano l’allineamento della valutazione dei rischi con la politica e gli obiettivi AI, registro dei rischi con dettagli su impatti potenziali e probabilità realistiche, criteri utilizzati per classificare i livelli di rischio, evidenze dell’identificazione dei rischi che facilitano o ostacolano il raggiungimento degli obiettivi AI, documentazione dei risultati delle valutazioni ripetute, report di riesame dei rischi e aggiornamenti periodici con le motivazioni delle modifiche.</t>
  </si>
  <si>
    <t>AI risk treatment</t>
  </si>
  <si>
    <t>Es.: Opzioni di trattamento dei rischi selezionate e documentate, mappa di correlazione tra rischi e controlli selezionati, confronto tra controlli adottati e quelli previsti nell’Annex A, statement of applicability (SoA) con giustificazioni per ogni controllo escluso o incluso, piano di trattamento dei rischi approvato formalmente dalla direzione, registrazioni della comunicazione interna del piano, evidenze dell’aggiornamento della documentazione in base ai cambiamenti del contesto o dei rischi, documentazione dei controlli supplementari scelti rispetto all’Annex A.</t>
  </si>
  <si>
    <t>Es.: Procedura di valutazione dell’impatto dei sistemi AI, documenti che identificano le potenziali conseguenze dell’uso, dell’implementazione e dell’uso improprio dei sistemi AI su individui, gruppi e società, registrazioni della considerazione del contesto tecnico, giuridico e sociale nei luoghi di implementazione, risultati delle valutazioni documentati e aggiornati, prove della comunicazione delle valutazioni alle parti interessate quando richiesto, evidenze dell’integrazione tra valutazione di impatto e processo di valutazione dei rischi, riferimenti alle valutazioni di impatto specifiche (es. sicurezza, privacy) adottate.</t>
  </si>
  <si>
    <t>Es.:Procedura di valutazione del rischio AI formalmente definita, documenti che dimostrano l’allineamento della valutazione dei rischi con la politica e gli obiettivi AI, registro dei rischi con dettagli su impatti potenziali e probabilità realistiche, criteri utilizzati per classificare i livelli di rischio, evidenze dell’identificazione dei rischi che facilitano o ostacolano il raggiungimento degli obiettivi AI, documentazione dei risultati delle valutazioni ripetute, report di riesame dei rischi e aggiornamenti periodici con le motivazioni delle modifiche.</t>
  </si>
  <si>
    <t>8.4/8.2.2</t>
  </si>
  <si>
    <t>Business impact analysis and risk assessment - General</t>
  </si>
  <si>
    <t>Es.: Procedura combinata o separata di BIA e risk assessment; Policy che include metodologie di analisi; Ruoli e responsabilità assegnati</t>
  </si>
  <si>
    <t>8.2.1</t>
  </si>
  <si>
    <t>Business impact analysis</t>
  </si>
  <si>
    <t>Es.: Report BIA con criteri di impatto e soglie di tolleranza
Elenco di attività critiche
Tempi di recupero definiti (RTO, RPO)
Evidenze di riesame periodico</t>
  </si>
  <si>
    <t>Risk assessment</t>
  </si>
  <si>
    <t>Es.:Registro dei rischi con analisi di probabilità e impatto
Metodologia di valutazione dei rischi documentata
Correlazione tra rischi e impatti aziendali
Misure di controllo identificate</t>
  </si>
  <si>
    <t>8.3.5</t>
  </si>
  <si>
    <t>Business continuity strategies and solutions
- General</t>
  </si>
  <si>
    <t>Es.: Documentazione delle strategie selezionate
Giustificazione per le strategie escluse</t>
  </si>
  <si>
    <t>Identification of strategies and solutions</t>
  </si>
  <si>
    <t>Es.: Studio di fattibilità o analisi costi-benefici
Opzioni di continuità valutate (es. sito secondario, cloud)</t>
  </si>
  <si>
    <t xml:space="preserve"> Selection of strategies and solutions</t>
  </si>
  <si>
    <t>Es.: Decisioni approvate dalla direzione
Piano di continuità coerente con i risultati di BIA e risk assessment</t>
  </si>
  <si>
    <t>Resource requirements</t>
  </si>
  <si>
    <t>Es.: Elenco delle risorse critiche (persone, infrastrutture, ICT)
Piani di approvvigionamento alternativi</t>
  </si>
  <si>
    <t xml:space="preserve"> Implementation of solutions</t>
  </si>
  <si>
    <t xml:space="preserve">Es.: Evidenze di attuazione delle soluzioni (contratti, accordi, test)
Registrazioni di attività implementate
</t>
  </si>
  <si>
    <t>8.4.4</t>
  </si>
  <si>
    <t>8.4.5</t>
  </si>
  <si>
    <t>Business continuity plans and procedures
General</t>
  </si>
  <si>
    <t>Es.: BC plans redatti, completi e coerenti con le strategie
Struttura standardizzata dei piani</t>
  </si>
  <si>
    <t>Response structure</t>
  </si>
  <si>
    <t>Es.: Struttura di risposta formalizzata (ruoli e responsabilità)
Nominativi e contatti delle persone chiave</t>
  </si>
  <si>
    <t>Warning and communication</t>
  </si>
  <si>
    <t>Es.: Procedure di allerta (early warning)
Piani di comunicazione interna/esterna</t>
  </si>
  <si>
    <t>Business continuity plans</t>
  </si>
  <si>
    <t>Es.: Piani per ciascun processo critico
Documenti accessibili e aggiornati</t>
  </si>
  <si>
    <t xml:space="preserve">Recovery </t>
  </si>
  <si>
    <t>Es.: Tempi di ripristino realistici e misurati
Procedure di ripartenza testate</t>
  </si>
  <si>
    <t>Exercise programme</t>
  </si>
  <si>
    <t>Es.: Programma esercitazioni annuale
Report di esercitazioni con risultati e azioni correttive
Evidenze di partecipazione del personale</t>
  </si>
  <si>
    <t>Evaluation of business continuity documentation and capabilities</t>
  </si>
  <si>
    <t>Es.: Audit interni con focus sulla BC
Riesame documentale dei piani di continuità
Verifica periodica dell’efficacia dei processi e piani</t>
  </si>
  <si>
    <t>Progettazione</t>
  </si>
  <si>
    <t>Es.: Procedura documentata per la progettazione (con riferimento alla prestazione energetica)
Criteri di progettazione che includono considerazioni sulle prestazioni energetiche
Documenti di specifica tecnica che tengono conto dell’efficienza energetica
Evidenze dell’integrazione degli EnPI (indicatori di prestazione energetica) nei progetti
Analisi degli impatti energetici di nuove attrezzature, impianti o modifiche
Report di valutazione energetica per progetti di modifica o ampliamento
Documentazione dell’uso delle migliori tecnologie disponibili per l’efficienza energetica
Registri di riesame tecnico dei progetti (con focus su consumo e prestazione)
Evidenze della considerazione dei requisiti legali e normativi legati all’energia nei progetti
Protocolli o istruzioni per la valutazione delle prestazioni energetiche previste
Piani di monitoraggio e verifica post-implementazione di nuovi progetti</t>
  </si>
  <si>
    <t>Valutazione dei rischi per la sicurezza delle informazioni (Information security risk assessment)</t>
  </si>
  <si>
    <t>Trattamento dei rischi per la sicurezza delle informazioni (Information security risk treatment)</t>
  </si>
  <si>
    <t>37001
37301</t>
  </si>
  <si>
    <t>ISO 37001
ISO 37301</t>
  </si>
  <si>
    <t>9001
20000-1</t>
  </si>
  <si>
    <t>14001
45001
39001</t>
  </si>
  <si>
    <r>
      <t xml:space="preserve"> Comunicare la politica
</t>
    </r>
    <r>
      <rPr>
        <sz val="12"/>
        <color theme="1"/>
        <rFont val="Aptos Narrow"/>
        <family val="2"/>
        <scheme val="minor"/>
      </rPr>
      <t>La politica per la qualità:
a) è disponibile e mantenuta come informazione documentata?
b) è comunicata, compresa e applicata all'interno dell'organizzazione?
c) è disponibile alle parti interessate rilevanti, per quanto appropriato?</t>
    </r>
  </si>
  <si>
    <t xml:space="preserve">7.1
</t>
  </si>
  <si>
    <t>7.1
7.1.2</t>
  </si>
  <si>
    <r>
      <rPr>
        <b/>
        <sz val="10"/>
        <color rgb="FF000000"/>
        <rFont val="Arial"/>
        <family val="2"/>
      </rPr>
      <t>Risorse</t>
    </r>
    <r>
      <rPr>
        <sz val="10"/>
        <color rgb="FF000000"/>
        <rFont val="Arial"/>
        <family val="2"/>
      </rPr>
      <t xml:space="preserve">
L'organizzazione determina e fornisce le risorse (per 9001 solo personale) necessarie per l'effettiva attuazione del sistema di gestione per l'operazione e il controllo dei suoi processi?</t>
    </r>
  </si>
  <si>
    <t>7.1.6
7.6</t>
  </si>
  <si>
    <t>14001
45001</t>
  </si>
  <si>
    <t xml:space="preserve">Evidenze </t>
  </si>
  <si>
    <t>7.5/7.6 (39001)</t>
  </si>
  <si>
    <t xml:space="preserve">(es.: Procedura o istruzioni operative per la consultazione e partecipazione dei lavoratori; Politiche aziendali che dichiarano l’impegno alla partecipazione (es. nella politica SSL); Organigramma con l’indicazione dei rappresentanti dei lavoratori per la SSL; Documentazione che dimostra la designazione formale dei rappresentanti; Verbali di riunioni periodiche con i lavoratori o con i rappresentanti; Calendario incontri HSE con presenza lavoratori;Registro delle richieste/suggerimenti/proposte inviate dai lavoratori e relative risposte
ecc.): </t>
  </si>
  <si>
    <t>(es.: Analisi Ambientale iniziale, Analisi degli aaspetti e degli impatti ambientali, ecc.)</t>
  </si>
  <si>
    <t xml:space="preserve">Evidenze (Elenco di opportunità di miglioramento dell’efficienza energetica (identificate tramite diagnosi, audit energetici, brainstorming interni); Analisi energetiche precedenti con confronto dei consumi (anno su anno)
Dati storici dei consumi normalizzati (per esempio, kWh/unità prodotta wcc)
</t>
  </si>
  <si>
    <t>L’organizzazione ha stabilito e mantiene un processo per raccogliere e analizzare informazioni di ritorno (feedback) da fonti interne ed esterne, al fine di valutare le prestazioni in materia di compliance, identificare eventuali cause di nonconformità e aggiornare il processo di valutazione dei rischi?</t>
  </si>
  <si>
    <t>Es. (Procedura o istruzione documentata per la gestione dei feedback sulla conformità; Elenco delle fonti di feedback: audit, whistleblowing, segnalazioni clienti, autorità, ecc.; Report o verbali in cui i feedback sono analizzati criticamente; Analisi delle cause di noncompliance derivanti dai feedback ricevuti ecc)</t>
  </si>
  <si>
    <t xml:space="preserve"> L’organizzazione ha sviluppato, attuato e mantiene un insieme di indicatori adeguati per valutare il raggiungimento degli obiettivi di compliance e le relative prestazioni?</t>
  </si>
  <si>
    <t xml:space="preserve">Es. (Elenco o matrice di indicatori di performance della compliance (KPI/metrics; Documentazione che descrive la metodologia di definizione, revisione e aggiornamento degli indicatori ecc.)
</t>
  </si>
  <si>
    <t xml:space="preserve">L’organizzazione ha stabilito, attuato e mantiene un processo di reporting relativo alla compliance che garantisce completezza, tempestività e utilizzabilità delle informazioni a supporto delle decisioni?
▢ Sono stati definiti criteri appropriati per il reporting della compliance (es. struttura, contenuti, periodicità, destinatari)?
▢ Sono state stabilite scadenze regolari per il reporting della compliance?
▢ È attuato un sistema di reporting delle eccezioni (ad hoc) in grado di rilevare e comunicare tempestivamente deviazioni o eventi critici?
▢ Sono attivi sistemi/processi che assicurano accuratezza e completezza delle informazioni riportate?
▢ Le informazioni fornite tramite il reporting sono utilizzate dalle funzioni/aree appropriate per l’adozione tempestiva di azioni correttive, preventive o di miglioramento?
 I report emessi verso l’organismo di governo o l’alta direzione sono adeguatamente protetti da alterazioni?
</t>
  </si>
  <si>
    <t>Es.(Procedura documentata per il reporting della compliance; Criteri formalizzati per la redazione dei report (contenuti minimi, struttura, destinatari)Template o format standard per i report periodici e ad hoc; Calendario o piano di reporting con cadenze stabilite (mensile, trimestrale, annuale); Registro dei report effettivamente emessi nel tempo; Verbali o e-mail che attestano l’invio dei report a funzioni o livelli di governo; Evidenze di report ad hoc generati in risposta a situazioni eccezionali (es. violazioni, segnalazioni, incidenti); Tracciabilità della gestione delle eccezioni (es. log, ticket, richieste d’intervento urgente)</t>
  </si>
  <si>
    <t xml:space="preserve"> L’organizzazione conserva registrazioni accurate e aggiornate delle attività di compliance, al fine di supportare il monitoraggio, il riesame e la dimostrazione della conformità al sistema di gestione per la compliance?</t>
  </si>
  <si>
    <t>Es.(Registro centralizzato delle registrazioni di compliance (digitale o cartaceo); Elenco dei documenti e registrazioni obbligatorie (es. riesami, piani, azioni correttive, audit, segnalazioni); Procedure per la gestione e conservazione delle registrazioni ecc)</t>
  </si>
  <si>
    <r>
      <rPr>
        <b/>
        <sz val="10"/>
        <color rgb="FF000000"/>
        <rFont val="Arial"/>
        <family val="2"/>
      </rPr>
      <t>Audit Interno</t>
    </r>
    <r>
      <rPr>
        <sz val="10"/>
        <color rgb="FF000000"/>
        <rFont val="Arial"/>
        <family val="2"/>
      </rPr>
      <t xml:space="preserve">
L’organizzazione effettua degli audit interni del sistema di gestione ad intervalli pianificati?</t>
    </r>
  </si>
  <si>
    <r>
      <rPr>
        <b/>
        <sz val="10"/>
        <color rgb="FF000000"/>
        <rFont val="Arial"/>
        <family val="2"/>
      </rPr>
      <t>Indagini su incidenti (Sinistri) e sugli altri eventi incidentali da traffico stradale (RTS)</t>
    </r>
    <r>
      <rPr>
        <sz val="10"/>
        <color rgb="FF000000"/>
        <rFont val="Arial"/>
        <family val="2"/>
      </rPr>
      <t xml:space="preserve"> 
L’organizzazione conserva registrazioni accurate e aggiornate delle attività di compliance, in modo da supportare il monitoraggio, il riesame e dimostrare la conformità al sistema di gestione per la compliance?</t>
    </r>
  </si>
  <si>
    <t>Es.(Registro centralizzato o sistema documentale che raccoglie tutte le registrazioni di compliance (audit, segnalazioni, azioni, indicatori, report). Elenco dei tipi di registrazioni obbligatorie previsti da procedure o policy. Procedure operative per la gestione e conservazione delle registrazioni, comprensiva di politica di retention ecc)</t>
  </si>
  <si>
    <t>L’alta direzione ha effettuato, a intervalli pianificati, il riesame del sistema di gestione per la prevenzione della corruzione, considerando tutti gli elementi richiesti e documentandone i risultati?</t>
  </si>
  <si>
    <r>
      <rPr>
        <b/>
        <sz val="10"/>
        <color rgb="FF000000"/>
        <rFont val="Arial"/>
        <family val="2"/>
      </rPr>
      <t>Riesame della Direzione</t>
    </r>
    <r>
      <rPr>
        <sz val="10"/>
        <color rgb="FF000000"/>
        <rFont val="Arial"/>
        <family val="2"/>
      </rPr>
      <t xml:space="preserve">
Il top management analizza ad intervalli pianificati il sistema di gestione?</t>
    </r>
  </si>
  <si>
    <t>9.3.1/9.3.1/9.3.2</t>
  </si>
  <si>
    <t xml:space="preserve">La funzione di conformità per la prevenzione della corruzione valuta regolarmente se il sistema di gestione è adeguato ed efficace, e riferisce a intervalli pianificati e, se necessario, ad hoc, i risultati di tali valutazioni alla direzione e all’organo direttivo (se presente)?
</t>
  </si>
  <si>
    <t>9.4</t>
  </si>
  <si>
    <t>Incidenti, non conformità e azioni correttive
 L’organizzazione ha stabilito, attuato e mantiene processi per gestire incidenti e non conformità, compresi il reporting, l’investigazione, la determinazione delle cause radice, la valutazione dei rischi, l’adozione di azioni correttive e la verifica dell’efficacia, con il coinvolgimento dei lavoratori e delle parti interessate, e conserva le relative informazioni documentate?</t>
  </si>
  <si>
    <t>Es.(Procedura documentata per la gestione di incidenti, non conformità e azioni correttive
Registrazioni di incidenti e near miss (infortuni, eventi pericolosi, anomalie operative)
Schede di non conformità compilate (comprese le azioni immediate, contenimento, ecc.)
Evidenza della reazione tempestiva all’evento:
Azioni correttive intraprese immediatamente
Comunicazioni di emergenza (verbali, e-mail, log)
Analisi delle cause radice, ad es. con diagramma Ishikawa, 5 perché, alberi dei guasti
Coinvolgimento dei lavoratori nell’analisi o nelle azioni (es. verbali riunioni, registri partecipanti)</t>
  </si>
  <si>
    <t>10.1/10.2/10.3</t>
  </si>
  <si>
    <t xml:space="preserve">L’organizzazione migliora continuamente la sua idoneità, adeguamento ed efficacia del sistema di gestione? L’organizzazione ha stabilito e attua un processo per gestire le non conformità, comprese quelle derivanti da reclami, adottando azioni correttive proporzionate agli effetti, riesaminandone le cause e aggiornando il sistema se necessario, e conserva evidenze documentate delle azioni e dei risultati?
</t>
  </si>
  <si>
    <t>50001
14001
45001</t>
  </si>
  <si>
    <t xml:space="preserve">Evidenze (informazioni documentate: piano obiettivi RTS; Gantt o piano di azione per ciascun obiettivo con risorse e responsabilità assegnate; Indicatori di performance e sistemi di monitoraggio (es. riduzione % incidenti/anno); comnicazioni interne ecc) 
</t>
  </si>
  <si>
    <t>Evidenze relative alla valutazione del rischio per informazioni e sul trattamento dei rischi per la sicurezza delle informazioni</t>
  </si>
  <si>
    <t>Es. (Questionari di soddisfazione cliente (post-servizio o periodici); Report aggregati delle indagini di customer satisfaction; Risultati Net Promoter Score (NPS) o Customer Effort Score (CES); Registri delle interviste cliente (telefoniche, in presenza, digitali; Report di indagini terze parti (se esternalizzato il servizio)</t>
  </si>
  <si>
    <t xml:space="preserve">Evidenze (informazioni documentate: manuale del SG, mappa/ interazione dei processi, diagrammi dei processi, dichiarazioni, ecc.; per ISO 9001/27001 si devono documentare i requisiti non applicabile): 
</t>
  </si>
  <si>
    <t>Piano Qualità; Scadenziari, fasi di processo, controlli pianificati, ecc.</t>
  </si>
  <si>
    <t>Riferimenti Commessa campionata</t>
  </si>
  <si>
    <t>Esito 
C=Conforme
Ca= Carenza</t>
  </si>
  <si>
    <t>NCMagg</t>
  </si>
  <si>
    <t>5.4</t>
  </si>
  <si>
    <t xml:space="preserve">(Es. Piano dei controlli, fasi di processo ecc.)
</t>
  </si>
  <si>
    <t xml:space="preserve">(per commesse in corso, specificare percentuale di avanzamento)
</t>
  </si>
  <si>
    <t>N/A</t>
  </si>
  <si>
    <t>C</t>
  </si>
  <si>
    <t xml:space="preserve">Es. Valutazioni periodiche documentate con check sulla conformità normativa; audit normativi ecc.; per la valutazione della soddisfazione del cliente, </t>
  </si>
  <si>
    <t>Valutazione della conformità ai requisiti legislativi e altri requisiti</t>
  </si>
  <si>
    <t>L'organizzazione analizza e valuta i dati e le informazioni appropriate che
emergono dal monitoraggio e dalla misurazione?</t>
  </si>
  <si>
    <t>I metodi per analizzare i dati comprendono tecniche statistiche?</t>
  </si>
  <si>
    <r>
      <t xml:space="preserve">9001
</t>
    </r>
    <r>
      <rPr>
        <sz val="10"/>
        <color theme="4"/>
        <rFont val="Arial"/>
        <family val="2"/>
      </rPr>
      <t>20000-1</t>
    </r>
  </si>
  <si>
    <r>
      <t xml:space="preserve">8.3 (9001)
</t>
    </r>
    <r>
      <rPr>
        <sz val="10"/>
        <color theme="4"/>
        <rFont val="Arial"/>
        <family val="2"/>
      </rPr>
      <t>8.5.1/8.5.2/8.5.3 (20000-1)</t>
    </r>
  </si>
  <si>
    <t>Piano di progetto (se applicabile per la 9001) e controlli della progettazione e sviluppo</t>
  </si>
  <si>
    <t xml:space="preserve">ISO9001
</t>
  </si>
  <si>
    <t>9001
45001
50001
20121
20000-1</t>
  </si>
  <si>
    <t>8.4/8.1.4/8.3/8.3/8.3.4</t>
  </si>
  <si>
    <t>8.2  
(9001)</t>
  </si>
  <si>
    <t>Riesame commerciale</t>
  </si>
  <si>
    <t xml:space="preserve">Ev. Anagrafica del cliente, codice commessa, riferimenti gara (CIG o CUP)
</t>
  </si>
  <si>
    <t>Oggetto commessa</t>
  </si>
  <si>
    <t xml:space="preserve">
Es. Ristrutturazione di edifici civili
</t>
  </si>
  <si>
    <t xml:space="preserve">Ev. es. Offerte, ordini, conferme d'ordine, computo metrico, specifiche tecniche sottoscritte dal cliente e dall'organizzazione, capitolato tecnico di gara, progetto di gara ecc.
</t>
  </si>
  <si>
    <t>9001
14001
45001
39001
37001
37301
20121
50001</t>
  </si>
  <si>
    <r>
      <rPr>
        <b/>
        <sz val="10"/>
        <color rgb="FF000000"/>
        <rFont val="Arial"/>
        <family val="2"/>
      </rPr>
      <t>Obbligatorio: Esito dell'ultimo VAPT (almeno annuale) e descrizione delle principali CVE</t>
    </r>
    <r>
      <rPr>
        <sz val="10"/>
        <color rgb="FF000000"/>
        <rFont val="Arial"/>
        <family val="2"/>
      </rPr>
      <t xml:space="preserve">
Es.: Procedura documentata per la valutazione del rischio
Registro dei rischi per la sicurezza delle informazioni aggiornato
Criteri di accettazione del rischio formalizzati
Evidenze delle fonti di rischio identificate (es. asset, minacce, vulnerabilità)
Matrice di valutazione probabilità/impatto
Esiti delle analisi dei rischi condotte secondo i criteri stabiliti
Documentazione di rivalutazione periodica dei rischi
Evidenze della partecipazione di parti interessate nella valutazione
Verbali di riesame della direzione riguardanti la valutazione dei rischi
Correlazione documentata tra rischi valutati e controlli selezionati (link con Annex A)</t>
    </r>
  </si>
  <si>
    <r>
      <rPr>
        <b/>
        <sz val="10"/>
        <color rgb="FF000000"/>
        <rFont val="Arial"/>
        <family val="2"/>
      </rPr>
      <t>Obbligatorio: Piano della gestione delle vulnerabilità tecniche</t>
    </r>
    <r>
      <rPr>
        <sz val="10"/>
        <color rgb="FF000000"/>
        <rFont val="Arial"/>
        <family val="2"/>
      </rPr>
      <t xml:space="preserve">
Es.: Piano di trattamento dei rischi formalizzato
Statement of Applicability (SoA) aggiornato, con giustificazioni per inclusione/esclusione dei controlli dell’Allegato A
Evidenze della selezione dei controlli sulla base della valutazione dei rischi
Mappa di correlazione rischi-controlli adottati
Decisioni documentate sul trattamento (accettazione, mitigazione, trasferimento o eliminazione del rischio)
Approfondimenti tecnici sui controlli scelti per rischi specifici
Approvazioni formali del piano di trattamento dei rischi
Documentazione delle comunicazioni interne/esterne sul trattamento dei rischi
Evidenze del monitoraggio dell’attuazione dei controlli selezionati
Valutazioni di efficacia dei trattamenti implementati
</t>
    </r>
  </si>
  <si>
    <t>9001
14001
45001
27001
27701
39001
37001
37301
20121
50001</t>
  </si>
  <si>
    <t>27001
27701</t>
  </si>
  <si>
    <t>8.1
5.6.1 (27701)</t>
  </si>
  <si>
    <t>8.2
5.6.2 (27701)</t>
  </si>
  <si>
    <t>8.3
5.6.3 (27701)</t>
  </si>
  <si>
    <t xml:space="preserve">Processo 2 (Descrizione): </t>
  </si>
  <si>
    <t xml:space="preserve">Processo 3 (Descrizione): </t>
  </si>
  <si>
    <t xml:space="preserve">Processo 4 (Descrizione): </t>
  </si>
  <si>
    <t xml:space="preserve">Processo 5 (Descrizione): </t>
  </si>
  <si>
    <t>Totale Numero NCMag</t>
  </si>
  <si>
    <t>Totale Numero NCMin</t>
  </si>
  <si>
    <t>Totale Numero Oss</t>
  </si>
  <si>
    <r>
      <t xml:space="preserve">RIPEILOGO DEI RILIEVI
</t>
    </r>
    <r>
      <rPr>
        <sz val="11"/>
        <color theme="1"/>
        <rFont val="Aptos Narrow"/>
        <family val="2"/>
        <scheme val="minor"/>
      </rPr>
      <t>(Attenzione! tabella autocompilativa, non modificare)</t>
    </r>
  </si>
  <si>
    <t>Evidenze relative alla metodologia di valutazione del rischio delle informazione e campionamento di almeno 3 rischi per la sicurezza delle informazioni</t>
  </si>
  <si>
    <t>8.5.5
8.5.6</t>
  </si>
  <si>
    <t xml:space="preserve">Post-Consegna
Controllo delle modifiche
</t>
  </si>
  <si>
    <t>Da intervista effettuata con il RSGQ e LR, emerge la conferma dei fattori interni ed esterni all’ organizzazione e altresì delle parti interessate e delle loro esigenze e aspettative
Non si registrano cambi sostanziali di contesto.
da intervista emerge la valutazione del cambiamento climatico come questione rilevante per il contesto del sistema di gestione.
L’ organizzazione ha correttamente identificato i fattori interni ed esterni e in base a questi ultimi ha altresì individuato i propri punti di forza e debolezza e le relative minacce e opportunità per i sistemi di gestione.
Tra i requisiti delle parti interessate non risultano requisiti relativi al cambiamento climatico
L’ organizzazione ha identificato correttamente le parti interessate e le relative esigenze e aspettative.</t>
  </si>
  <si>
    <t xml:space="preserve">Visto piano obbiettivi 2025. Si campiona, fra i più rilevanti:
commerciale – aumento del fatturato - + 10%;
fornitori – mantenimento delle performance – max 5nc;
infrastrutture – acquisto di nuovi PC;
soddisfazione del cliente – mantenimento – 0 reclami;
visto monitoraggio degli obbiettivi 2024. 
documento visionato MOD
 rev 0 del 01/06/2022
</t>
  </si>
  <si>
    <t xml:space="preserve">(es.: procedure, il registro delle attrezzature e dei macchinari della dotazione, la pianificazione delle attività di manutenzione, la realizzazione delle attività di manutenzione, schede di macchinari, scheda di registrazione degli interventi effettuati sull’apparecchiatura, verbali/referti sugli aspetti ambientali (elenco), gestione dei fattori ambientali (relazioni di analisi, adeguamento alla legislazione), aspetti SSL: verbali di formazione, utilizzo dei DPI, verifiche SSL ecc.):
L’organizzazione gestisce le attrezzature e pianifica le manutenzioni tramite il mod. 7.1.3 rev. 0 del 01/12/2020.
L’organizzazione utilizza per la propria attività PC, stampanti e altre attrezzature da ufficio, e software per la gestione dei progetti.
L’organizzazione pianifica la manutenzione delle attrezzature mensilmente con back up su hard disk esterno, su indicazioni del manuale d’uso e per i software secondo gli aggiornamenti dello sviluppatore.
Si campionano le seguenti attrezzature:
- N.2 Lenovo IdeaPad S145 Notebook. Vista ultima manutenzione del mese di aprile 2023 con back up su hard disk esterno.
- iPad Pro 11'' 2020 WiFi 256GB Silver. Ultima manutenzione ad aprile 2023 con sostituzione pellicola protettiva dello schermo ed esecuzione backup su altro dispositivo.
Manutenzioni effettuate dal sig. Mestichelli.
Vista fattura di acquisto per LEICA LASER SCANNER BLKTOGO – Attrezzatura per la rilevazione di ambienti tridimensionali e software per la restituzione della nuvola di punti. 
Il dispositivo non ha bisogno di taratura periodica ma della sola calibrazione, programmata con cadenza annuale attraverso procedura interna dell’organizzazione.
Si campionano i seguenti software utilizzati per l’attività:
- Geonetwork (software per l'edilizia, studi tecnici, studi notarili, geometri, architetti) licenza XP3-001-14240M;
- Ufficius (software gestionale);
- Termus (software BIM per la certificazione energetica);
- Primus C (software per i capitolati speciali);
Visti aggiornamenti dei software all’ultima versione disponibile. 
Viste licenze software in corso di validità.
</t>
  </si>
  <si>
    <r>
      <t xml:space="preserve">(es.: procedure documentate, ROF, RI, fascicoli del personale contenenti registrazioni: diplomi, certificati, permessi, autorizzazioni, mansionari – responsabilità nei confronti dell’ambiente e SSL, decisioni di nomina, formazioni esterne (programma di formazione, prove di effettuazione della formazione), la valutazione delle prestazioni dei lavoratori ecc.):
</t>
    </r>
    <r>
      <rPr>
        <sz val="10"/>
        <rFont val="Arial"/>
        <family val="2"/>
      </rPr>
      <t xml:space="preserve">formazione del personale gestita dall’organizzazione tramite il Mod. 7.2 rev 0 del 01/12/2020 illustra quali sono le attività di formazione da svolgere e le competenze che deve acquisire il dipendente per una corretta attuazione del sistema di gestione qualità.
Visto piano della formazione
Vista formazione e competenza per le seguenti risorse:
•	RSPP
•	Primo soccorso
•	Antincendio
•	RLS
•	Preposto
•	Verificata formazione generica e specifica per tutti i lavoratori
</t>
    </r>
  </si>
  <si>
    <r>
      <t xml:space="preserve">(es.: formazione e briefing sulla politica, interviste, Materiale informativo distribuito,  ecc.):
</t>
    </r>
    <r>
      <rPr>
        <sz val="10"/>
        <rFont val="Arial"/>
        <family val="2"/>
      </rPr>
      <t xml:space="preserve">Da intervista effettuata con la direzione e con un campione rappresentativo di risorse, emerge una notevole consapevolezza da parte degli intervistati in merito all’ importanza del proprio contributo all’ efficacia del sistema di gestione.
</t>
    </r>
  </si>
  <si>
    <r>
      <t xml:space="preserve">(es.:Newsletter aziendali, bacheche digitali o fisiche; Meeting periodici (es. riunioni di reparto) con verbali
sito web ecc):
</t>
    </r>
    <r>
      <rPr>
        <sz val="10"/>
        <rFont val="Arial"/>
        <family val="2"/>
      </rPr>
      <t>Metodi di comunicazione ritenuti efficaci ed efficienti.</t>
    </r>
  </si>
  <si>
    <r>
      <t xml:space="preserve">Es. (Piano di monitoraggio prestazionale (KPI plan, dashboard di processo)
Elenco degli indicatori definiti per ciascun processo del sistema di gestione
Matrice di collegamento tra obiettivi e indicatori (es. obiettivi qualità, ambientali, anticorruzione) Piani di misurazione con periodicità e responsabilità definite ecc)
</t>
    </r>
    <r>
      <rPr>
        <sz val="10"/>
        <rFont val="Arial"/>
        <family val="2"/>
      </rPr>
      <t>Confermate le modalità di monitoraggio, misurazione e valutazione degli indicatori di sistema rilevate nel precedente audit.
Visto docuemnto di valutazione delle prestazioni e relativo avanzamento degli obbiettivi. Vista valutazione svolta nel corrente anno con cadenza trimestrale.</t>
    </r>
  </si>
  <si>
    <r>
      <t xml:space="preserve">Es.(Procedura documentata per la gestione delle non conformità e azioni correttive
Report o schede NC (non conformità) generate internamente o da reclami esterni
Evidenza di:
Azioni immediate adottate (contenimento o correzione)
Valutazione delle conseguenze sul prodotto, sul cliente o sul sistema; Analisi delle Cause; Azioni Correttive)
</t>
    </r>
    <r>
      <rPr>
        <sz val="10"/>
        <rFont val="Arial"/>
        <family val="2"/>
      </rPr>
      <t>La direzione si dimostra chiaramente propensa al miglioramento continuo attraverso azioni mirate e grazie al monitoraggio e tracciamento dei processi. Il personale si dimostra consapevole delle procedure di gestione di eventuali NC, qualora si verificassero.
Dall’audit interno non emergono NC ne OSS. L’organizzazione è comunque dotata di apposito modulo di gestione delle NC e AC.
Si ritiene nel complesso che l’organizzazione abbia un ottima propensione al miglioramento continuo e il punto norma conforme.</t>
    </r>
  </si>
  <si>
    <t>Comune</t>
  </si>
  <si>
    <t>8.1</t>
  </si>
  <si>
    <t>Descrizione della commessa campionata, descrivi:
- Oggetto;
- Eventuali atti autorizzativi
- Da Acquisizione commessa;
- Stato della commessa;</t>
  </si>
  <si>
    <t>8.3/8.5.1/8.5.3/8.5.3</t>
  </si>
  <si>
    <t>Piano di progetto (se applicabile) e controlli della progettazione e sviluppo</t>
  </si>
  <si>
    <t>Piano Qualità; Scadenziari ecc</t>
  </si>
  <si>
    <t>9001
50001
20121
20000-1</t>
  </si>
  <si>
    <t>8.4/8.3/8.3/8.3.4</t>
  </si>
  <si>
    <t>8.5.5</t>
  </si>
  <si>
    <t>Post-Consegna</t>
  </si>
  <si>
    <r>
      <rPr>
        <b/>
        <sz val="11"/>
        <color rgb="FF000000"/>
        <rFont val="Arial"/>
        <family val="2"/>
      </rPr>
      <t xml:space="preserve">Principi di sviluppo sostenibile, dichiarazione di intenti e valori </t>
    </r>
    <r>
      <rPr>
        <sz val="10"/>
        <color rgb="FF000000"/>
        <rFont val="Arial"/>
        <family val="2"/>
      </rPr>
      <t xml:space="preserve">
L'organizzazione ha definito, documentato e comunicato i propri principi fondamentali di sviluppo sostenibile sotto forma di dichiarazione di intenti e valori?
In particolare:
I principi includono considerazioni relative alla gestione, inclusività, integrità e trasparenza?
L’organizzazione ha definito e documentato:
lo scopo primario dell’organizzazione rispetto agli eventi gestiti?
i propri valori fondamentali in relazione alle attività, ai prodotti e ai servizi correlati agli eventi?
Tali principi, scopo e valori sono utilizzati come quadro di riferimento per la definizione di politiche, obiettivi e traguardi, così come previsto dal campo di applicazione del sistema di gestione sostenibile degli eventi?</t>
    </r>
  </si>
  <si>
    <t>Leadership
L’alta direzione dimostra leadership e impegno attivo nel garantire l’efficacia del sistema di gestione, promuovendone l’integrazione nei processi dell’organizzazione e supportandone il miglioramento continuo?</t>
  </si>
  <si>
    <t>Ruoli e responsabilità
L’Alta Direzione assicura che le responsabilità e le autorità per i ruoli pertinenti siano assegnate e comunicate all’interno dell’Organizzazione?</t>
  </si>
  <si>
    <r>
      <t xml:space="preserve">Politica del sistema di gestione
Stabilire la politica per il sistema di gestione
</t>
    </r>
    <r>
      <rPr>
        <sz val="12"/>
        <color theme="1"/>
        <rFont val="Aptos Narrow"/>
        <family val="2"/>
        <scheme val="minor"/>
      </rPr>
      <t>L'alta direzione ha stabilito, attuato e mantiene una politica che:
a) è appropriata alle finalità e al contesto dell'organizzazione e supporta i suoi indirizzi strategici?
b) costituisce un quadro di riferimento per fissare gli obiettivi?
c) comprende un impegno a soddisfare i requisiti applicabili?
d) comprende un impegno per il miglioramento continuo del sistema di gestione?</t>
    </r>
  </si>
  <si>
    <t xml:space="preserve">Consultazione e partecipazione dei lavoratori 
L’organizzazione ha stabilito, attuato e mantiene uno o più processi per assicurare la consultazione e la partecipazione dei lavoratori – e dei loro rappresentanti ove istituiti – a tutti i livelli e funzioni applicabili, nel ciclo di vita del sistema di gestione per la salute e sicurezza sul lavoro (SGSSL)?
▢ L’organizzazione fornisce modalità, tempo, formazione e risorse adeguate per la consultazione e la partecipazione dei lavoratori?
▢ L’accesso alle informazioni sul SGSSL è garantito in modo tempestivo, chiaro e comprensibile?
▢ Sono stati individuati ed eliminati (o ridotti al minimo) eventuali ostacoli o barriere alla partecipazione?
l'organizzazione favorisce la consultazione dei lavoratori senza funzioni manageriali sulle attività descritte dalla norma (punti da 1 a 9 lettera d e punti da 1 a 7 lettera e)?
Altri elementi specifici da verificare
▢ È presente una rappresentanza dei lavoratori (ove applicabile), e questa è effettivamente coinvolta nei processi di consultazione e partecipazione?
▢ È prevista formazione gratuita e durante l’orario di lavoro per favorire la partecipazione dei lavoratori, dove possibile?
Il processo di consultazione e partecipazione non esclude i lavoratori senza incarichi manageriali?
</t>
  </si>
  <si>
    <t>Azioni per affrontare i rischi e le opportunità
Nella pianificazione del sistema di gestione sono determinate i rischi e le opportunità che necessitano trattamento?</t>
  </si>
  <si>
    <t xml:space="preserve">Aspetti ambientali
L’organizzazione identifica, valuta, comunica e tiene sotto controllo gli aspetti ambientali delle proprie attività, prodotti e servizi, assicurandosi che quelli significativi siano gestiti in modo coerente con il contesto operativo, con una visione di ciclo di vita, tenendo conto dei cambiamenti, delle condizioni anomale e delle emergenze?
Da approfondire:
Identificazione degli aspetti ambientali
L’organizzazione ha identificato tutti gli aspetti ambientali che può controllare o influenzare?
È adottata una prospettiva di ciclo di vita nella valutazione?
Valutazione e significatività
Sono stati stabiliti e applicati criteri chiari per determinare la significatività degli aspetti?
Si tiene conto di:
a) Cambiamenti pianificati o nuovi sviluppi
b) Condizioni anomale e situazioni di emergenza prevedibili?
Comunicazione interna
Gli aspetti ambientali significativi sono comunicati ai diversi livelli e funzioni dell’organizzazione?
Informazioni documentate
Sono mantenute informazioni documentate su:
Gli aspetti ambientali e i relativi impatti
I criteri di valutazione della significatività
Gli aspetti ambientali significativi identificati
Rischi e opportunità ambientali
Gli aspetti significativi sono collegati alla gestione dei rischi ambientali (minacce) e delle opportunità (benefici)?
</t>
  </si>
  <si>
    <t>Identificazione dei pericoli, la valutazione dei rischi e delle opportunità
L’organizzazione identifica in modo sistematico, continuo e proattivo i pericoli per la salute e sicurezza sul lavoro?
Sono presi in considerazione i seguenti elementi?
a) Organizzazione del lavoro e fattori sociali (es. carichi di lavoro, molestie, leadership, cultura)?
b) Situazioni di routine e non di routine legate a:
• infrastrutture, attrezzature, sostanze, condizioni fisiche
• progettazione e modifiche di prodotti/servizi/procedimenti
• fattori umani
• modalità di esecuzione del lavoro
c) Incidenti rilevanti, interni o esterni, inclusi near miss ed emergenze?
d) Situazioni di potenziale emergenza?
e) Categorie di persone esposte o potenzialmente coinvolte, inclusi lavoratori, appaltatori, visitatori, e terze parti?
f) Lavoratori in luoghi non sotto diretto controllo dell’organizzazione?
g) Fattori correlati alla progettazione, vicinanza o interazione di attività/processi?
h) Cambiamenti pianificati e imprevisti, sia a livello organizzativo, sia nei processi o nelle attività?
Esiste un processo documentato per la raccolta, analisi e aggiornamento dei pericoli identificati?</t>
  </si>
  <si>
    <r>
      <t xml:space="preserve">AI Risk Assessment
L’organizzazione ha definito e implementato un processo di valutazione del rischio AI che sia coerente con la politica AI e gli obiettivi stabiliti, permetta valutazioni ripetibili e comparabili, identifichi e analizzi i rischi legati al mancato raggiungimento degli obiettivi AI, e ne valuti la gravità e la probabilità, confrontandoli con criteri predefiniti e documentando il processo stesso?
Nello specifico:
</t>
    </r>
    <r>
      <rPr>
        <sz val="10"/>
        <color rgb="FF000000"/>
        <rFont val="Aptos Narrow"/>
        <family val="2"/>
      </rPr>
      <t>□</t>
    </r>
    <r>
      <rPr>
        <sz val="8.5"/>
        <color rgb="FF000000"/>
        <rFont val="Arial"/>
        <family val="2"/>
      </rPr>
      <t xml:space="preserve"> </t>
    </r>
    <r>
      <rPr>
        <sz val="10"/>
        <color rgb="FF000000"/>
        <rFont val="Arial"/>
        <family val="2"/>
      </rPr>
      <t xml:space="preserve">il processo di valutazione dei rischi legati all’intelligenza artificiale è costruito sulla base della politica AI e degli obiettivi AI dell’organizzazione? Sono stati considerati i principi, gli impegni e le priorità espresse nella politica AI nella definizione dei criteri di rischio? Il contenuto degli obiettivi AI (es. affidabilità, etica, inclusività, accuratezza, trasparenza, ecc.) è stato effettivamente utilizzato per orientare l’identificazione e la valutazione dei rischi?
□ Il processo di valutazione dei rischi AI è progettato in modo da garantire risultati coerenti, validi e comparabili nel tempo? Sono disponibili procedure che assicurino tale coerenza?
□ Vengono identificati i rischi che ostacolano o supportano il raggiungimento degli obiettivi dell’organizzazione relativi all’IA? Esistono criteri o strumenti specifici utilizzati per questa attività?
□ vengono analizzate le conseguenze potenziali dei rischi AI per l’organizzazione, gli individui e la società nel caso in cui si materializzassero? Sono disponibili esempi documentati di queste analisi?
□ E' disponibile un approccio oggettivo per valutare la probabilità realistica che i rischi AI si concretizzino? Esiste una scala documentata di probabilità
□ vengono determinati i livelli di rischio? L’organizzazione ha definito delle soglie o classi di rischio per qualificare l’esposizione?
□ I risultati dell’analisi del rischio AI vengono confrontati con i criteri di rischio stabiliti (rif. 6.1.1)? Come viene registrato l’esito di questo confronto?
□  viene effettuata la prioritizzazione dei rischi identificati? Esiste un piano o registro che evidenzia l’ordine di trattamento dei rischi AI?
L’organizzazione conserva </t>
    </r>
    <r>
      <rPr>
        <sz val="10"/>
        <color rgb="FFFF0000"/>
        <rFont val="Arial"/>
        <family val="2"/>
      </rPr>
      <t>informazioni documentate</t>
    </r>
    <r>
      <rPr>
        <sz val="10"/>
        <color rgb="FF000000"/>
        <rFont val="Arial"/>
        <family val="2"/>
      </rPr>
      <t xml:space="preserve"> del processo di valutazione dei rischi AI?
</t>
    </r>
  </si>
  <si>
    <t>AI Risk Treatment
L’organizzazione ha definito, attuato e documentato un processo strutturato per il trattamento dei rischi legati all’AI, basato sui risultati della valutazione dei rischi?
Nello specifico:
▢ Sono state selezionate opzioni appropriate per il trattamento dei rischi dell’IA?
▢ L’organizzazione ha determinato tutti i controlli necessari per attuare le opzioni di trattamento dei rischi, confrontandoli con quelli dell’Allegato A per verificarne la completezza?
▢ Sono stati considerati i controlli rilevanti dell’Allegato A per l’attuazione delle opzioni di trattamento del rischio?
▢ Sono stati identificati eventuali controlli aggiuntivi, oltre quelli dell’Allegato A, necessari per l’implementazione completa del trattamento dei rischi?
▢ È stata utilizzata la guida dell’Allegato B per supportare l’implementazione dei controlli individuati?
▢ È stata prodotta una dichiarazione di applicabilità che elenchi i controlli selezionati con la giustificazione delle inclusioni ed esclusioni?
▢ È stato formalizzato un piano di trattamento dei rischi dell’IA, approvato dalla direzione designata, comprensivo dei rischi residui accettati?</t>
  </si>
  <si>
    <t xml:space="preserve">AI system impact assessment
L’organizzazione ha definito e attua un processo per valutare le conseguenze potenziali derivanti dallo sviluppo, fornitura o uso dei sistemi di IA su individui, gruppi o società?
▢ Il processo di valutazione dell’impatto del sistema di IA considera l’uso previsto e prevedibile, nonché i potenziali abusi, e valuta le conseguenze sugli individui, gruppi e società?
▢ Sono considerati il contesto tecnico e sociale specifico, le giurisdizioni applicabili e il luogo in cui il sistema IA è distribuito?
▢ I risultati della valutazione dell’impatto del sistema di IA sono documentati e disponibili, ove opportuno, per le parti interessate rilevanti?
▢ I risultati della valutazione dell’impatto sono presi in considerazione nel processo di valutazione dei rischi IA (vedi 6.1.2)?
▢ L’organizzazione applica, se necessario, valutazioni specifiche per ambito (es. sicurezza, privacy, impatti sociali) come parte della gestione complessiva del rischio?
</t>
  </si>
  <si>
    <t>Valutazione del rischio per la sicurezza delle informazioni
L’organizzazione ha definito e applicato un processo di valutazione dei rischi per la sicurezza delle informazioni che:
a) stabilisce e mantiene criteri di rischio per la sicurezza delle informazioni, inclusi:
i criteri di accettazione del rischio; e i criteri per l’esecuzione delle valutazioni dei rischi per la sicurezza delle informazioni;
b) garantisce che le valutazioni dei rischi ripetute producano risultati coerenti, validi e confrontabili;
c) identifica i rischi per la sicurezza delle informazioni:
applicando il processo di valutazione dei rischi per individuare i rischi legati alla perdita di riservatezza, integrità e disponibilità delle informazioni nel campo di applicazione del sistema di gestione della sicurezza delle informazioni; e
identificando i proprietari dei rischi;
d) analizza i rischi per la sicurezza delle informazioni:
valutando le potenziali conseguenze derivanti dal verificarsi dei rischi identificati;
valutando la probabilità realistica di accadimento dei rischi identificati; e determinando i livelli di rischio;
e) valuta i rischi per la sicurezza delle informazioni:
confrontando i risultati dell’analisi dei rischi con i criteri di rischio stabiliti; e definendo la priorità dei rischi analizzati ai fini del trattamento del rischio?</t>
  </si>
  <si>
    <t>Trattamento dei rischi per la sicurezza delle informazioni
Trattamento del rischio di sicurezza delle informazioni:
L'organizzazione ha definito e applicato un processo di trattamento del rischio per la sicurezza delle informazioni per:
a)	ha scelto le opzioni appropriate per il trattamento del rischio per la sicurezza delle informazioni, tenendo conto dei risultati della valutazione del rischio?
b)	Ha determinato tutti i controlli necessari per implementare le operazioni di trattamento del rischio per la sicurezza delle informazioni scelte?
c)	Ha verificato i controlli determinati al punto 6.1.3 b) con quelli dell'Allegato A e verificato che non siano stati omessi i controlli necessari?
(I controlli di sicurezza delle informazioni elencati nell'Allegato A non sono esaustivi e, se necessario, è possibile includere ulteriori controlli di sicurezza delle informazioni. sicurezza delle informazioni possono essere inclusi, se necessario)
d)	È presente una dichiarazione di applicabilità che contenga:
                   - i controlli necessari (vedere 6.1.3 b) e c));
                   - la giustificazione della loro inclusione/esclusione;
                   - se i controlli necessari sono implementati o meno; e
                   - la giustificazione dell'esclusione di uno qualsiasi dei controlli dell'Allegato A.
e)	È stata formulata un piano di trattamento dei rischi per la sicurezza delle informazioni?
f)	È stato ottenuta l'approvazione del piano di trattamento dei rischi per la sicurezza delle informazioni da parte dei proprietari dei rischi e l'accettazione dei rischi residui per la sicurezza delle informazioni?
Sono conservate informazioni documentate sul processo di trattamento del rischio per la sicurezza delle informazioni.</t>
  </si>
  <si>
    <t>Obblighi di adeguamento/ 6.1.3 Determinazione dei requisiti legali e di altri requisiti 
L’organizzazione determina, monitora e integra in modo continuo i requisiti legali e gli altri obblighi di conformità applicabili (sia ambientali sia di salute e sicurezza sul lavoro), e garantisce che tali obblighi siano comunicati, applicati e aggiornati nel sistema di gestione?</t>
  </si>
  <si>
    <t>Obiettivi:
L’Organizzazione ha stabilito gli obiettivi relativi alle funzioni e ai livelli pertinenti, considerando pericoli, gli obblighi di conformità, i rischi e le opportunità?</t>
  </si>
  <si>
    <t>Fattori di prestazioni RTS
Domanda integrata – Requisito 6.3 ISO 39001:2012 (Fattori di prestazioni RTS)
L’organizzazione ha identificato e utilizza in modo sistematico i fattori di prestazione RTS rilevanti (esposizione, risultato finale e risultato intermedio di sicurezza), in coerenza con il proprio contesto, gli obiettivi e le opportunità individuate?
In particolare:
◼ Sono stati identificati i fattori di rischio di esposizione come la distanza percorsa, il volume di traffico e il volume dei prodotti/servizi forniti?
◼ Sono stati identificati e monitorati i fattori di risultato finale di sicurezza (es. numero di morti o feriti gravi)?
◼ Sono stati presi in considerazione i fattori di risultato intermedio di sicurezza (es. progettazione stradale, uso di dispositivi di sicurezza, idoneità psicofisica del conducente, velocità, uso di droghe/alcol, manutenzione veicoli, gestione post-incidente)?
◼ L’organizzazione ha elaborato propri fattori supplementari di prestazione RTS in funzione del proprio ruolo nel sistema del traffico stradale?
◼ I criteri prestazionali identificati sono appropriati e documentati? Sono utilizzati per definire obiettivi e traguardi e per monitorare i progressi dell’organizzazione rispetto alla sicurezza stradale?
◼ È presente una giustificazione tecnica documentata in caso di esclusione o mancata applicazione di uno o più fattori previsti dal requisito?</t>
  </si>
  <si>
    <t>Obiettivi RTS
L’organizzazione ha definito obiettivi di RTS pertinenti per le proprie funzioni e livelli rilevanti, che risultino:
◼ coerenti con la politica di RTS;
◼ misurabili (ove possibile);
◼ correlati ai requisiti applicabili;
◼ monitorati, comunicati e aggiornati, come appropriato?
Nella definizione o revisione degli obiettivi, l’organizzazione tiene conto dei fattori di rischio, delle opportunità identificate (rif. 6.2), dei fattori prestazionali RTS (rif. 6.3), nonché della propria capacità gestionale, delle opzioni tecnologiche, delle risorse economiche e delle parti interessate?
Per ciascun obiettivo o traguardo di RTS, l’organizzazione ha definito e documentato:
◼ cosa deve essere fatto;
◼ le risorse necessarie;
◼ i ruoli e le responsabilità;
◼ le tempistiche di completamento;
◼ i criteri per la valutazione dei risultati?</t>
  </si>
  <si>
    <t>PIANIFICAZIONE DEI CAMBIAMENTI
L’organizzazione prende in considerazione lo scopo dei cambiamenti e le loro potenziali conseguenze, l’integrità del SG, la disponibilità delle risorse, l’assegnazione o la riassegnazione delle responsabilità e delle autorità?</t>
  </si>
  <si>
    <r>
      <rPr>
        <b/>
        <sz val="10"/>
        <color rgb="FF000000"/>
        <rFont val="Arial"/>
        <family val="2"/>
      </rPr>
      <t>Fattori di prestazione per il sistema di gestione  Analisi Energetica</t>
    </r>
    <r>
      <rPr>
        <sz val="10"/>
        <color rgb="FF000000"/>
        <rFont val="Arial"/>
        <family val="2"/>
      </rPr>
      <t xml:space="preserve">
Sono stati valutati Fattori di prestazione per il sistema di gestione l’organizzazione ha condotto e sviluppato Analisi energetica</t>
    </r>
  </si>
  <si>
    <t xml:space="preserve">Sistema di gestione completo di procedure e informazioni documentate idonee allo svolgimento del processo in condizioni controllate e monitorabili.
</t>
  </si>
  <si>
    <r>
      <t xml:space="preserve">(es.: procedure, metodi di comunicazione utilizzati, modalità di consultazione dei lavoratori, la partecipazione dei lavoratori, riunione periodica ecc.): </t>
    </r>
    <r>
      <rPr>
        <sz val="11"/>
        <rFont val="Aptos Narrow"/>
        <family val="2"/>
        <scheme val="minor"/>
      </rPr>
      <t xml:space="preserve">
</t>
    </r>
  </si>
  <si>
    <t xml:space="preserve">Evidenze (Moduli di richiesta o autorizzazione di modifica (es. Change Request, Modifica al processo, Deviations Management); Procedure o istruzioni che descrivono come vengono gestite le modifiche al SGQ
Registro delle modifiche significative al SGQ)
</t>
  </si>
  <si>
    <r>
      <t xml:space="preserve">(es.: Analisi dei Rischi e delle Opportunità, Analisi Swot; Pestel ecc.) 
</t>
    </r>
    <r>
      <rPr>
        <sz val="11"/>
        <rFont val="Aptos Narrow"/>
        <family val="2"/>
        <scheme val="minor"/>
      </rPr>
      <t xml:space="preserve">
</t>
    </r>
    <r>
      <rPr>
        <sz val="11"/>
        <color rgb="FF00B0F0"/>
        <rFont val="Aptos Narrow"/>
        <family val="2"/>
        <scheme val="minor"/>
      </rPr>
      <t xml:space="preserve">
</t>
    </r>
  </si>
  <si>
    <t xml:space="preserve">(Es: Manuale qualità (se previsto); Elenco master documenti; Matrice delle informazioni documentate;  Accessi controllati (permessi informatici, intranet aziendale);  Backup automatici, restrizioni stampa/modifica ecc)
</t>
  </si>
  <si>
    <t xml:space="preserve">(es.: Documenti di processo, SOP, istruzioni operative; Knowledge base interna o database aziendali; lezioni apprese,Presentazioni/formazioni interne archiviate, fonti accademiche, conferenze ecc.):
</t>
  </si>
  <si>
    <t xml:space="preserve">(es.: Registro di manutenzione degli impianti (es. HVAC, illuminazione, ventilazione, rumorosità; Controlli documentati sulla qualità dell’aria (es. ambienti sterili, laboratori); Evidenze del rispetto delle condizioni ambientali richieste per il prodotto/processo (es. temperatura controllata); Politiche sul benessere aziendale o welfare
Questionari di clima organizzativo, motivazione o soddisfazione del personale ecc.):
</t>
  </si>
  <si>
    <t xml:space="preserve">(es.: numero totale di lavoratori/ per turni/ a tempo pieno/ part-time, organigramma, elenco delle posizioni, il meccanismo di selezione del personale (assunzione) ecc.): 
</t>
  </si>
  <si>
    <t>L’organizzazione ha determinato se agisce in qualità di titolare del trattamento dei dati personali (anche come titolare del trattamento congiunto) oppure di responsabile del trattamento dei dati personali, in relazione alle attività di trattamento svolte?</t>
  </si>
  <si>
    <t>Nel caso in cui l’organizzazione agisca sia come titolare del trattamento dei dati personali sia come responsabile del trattamento dei dati personali, sono stati definiti e documentati ruoli distinti, ciascuno soggetto a una serie separata di controlli e requisiti applicabili?</t>
  </si>
  <si>
    <t>L’organizzazione ha incluso tra le parti interessate rilevanti per il PIMS quelle che hanno interessi o responsabilità associati al trattamento delle PII, inclusi i titolari delle PII (soggetti interessati)?</t>
  </si>
  <si>
    <t>L’organizzazione ha definito e applica un processo formale di valutazione dei rischi per la privacy (privacy risk assessment)?
Il processo di valutazione dei rischi per la privacy stabilisce e mantiene criteri di rischio che includono:
criteri di accettazione del rischio;
criteri per l’esecuzione della valutazione dei rischi per la privacy?
Le valutazioni periodiche dei rischi per la privacy garantiscono risultati coerenti, validi e comparabili nel tempo?
Il processo di valutazione dei rischi per la privacy identifica i rischi associati:
alla protezione della privacy;
ai rischi per la sicurezza delle informazioni,
nell’ambito di applicazione del PIMS?
Per ciascun rischio per la privacy identificato, sono chiaramente individuati i responsabili del rischio (risk owner)?
I rischi per la privacy sono analizzati valutando:
le potenziali conseguenze sia per l’organizzazione sia per i soggetti interessati (PII principals) nel caso di concretizzazione del rischio;
la probabilità realistica che il rischio si verifichi;
il livello di rischio risultante?
I rischi per la privacy sono valutati confrontando i risultati dell’analisi dei rischi con i criteri di rischio definiti?
I rischi per la privacy sono prioritizzati ai fini del trattamento dei rischi (risk treatment)?
L’organizzazione conserva informazioni documentate relative al processo di valutazione dei rischi per la privacy e ai relativi risultati?</t>
  </si>
  <si>
    <t>L’organizzazione ha definito e applica un processo documentato di gestione dei rischi per la privacy relativo al trattamento delle PII, inclusi i rischi per i soggetti interessati (PII principals) e la sicurezza delle PII?
Il processo di gestione dei rischi per la privacy prevede la selezione di opzioni appropriate di trattamento dei rischi, sulla base dei risultati della valutazione dei rischi per la privacy?
Sono stati determinati tutti i controlli necessari per implementare le opzioni di trattamento dei rischi per la privacy selezionate, indipendentemente dalla fonte dei controlli (progettati internamente o derivati da standard/altre fonti)?
L’organizzazione ha identificato e documentato il programma di sicurezza delle informazioni a supporto del trattamento delle PII, includendo i controlli di sicurezza appropriati?
Il programma di sicurezza delle informazioni copre almeno i seguenti ambiti:
gestione dei rischi per la sicurezza delle informazioni;
politiche per la sicurezza delle informazioni;
organizzazione della sicurezza delle informazioni;
sicurezza delle risorse umane;
gestione degli asset;
controllo degli accessi;
sicurezza delle operazioni;
gestione della sicurezza della rete;
sicurezza dello sviluppo;
gestione dei fornitori;
gestione degli incidenti;
continuità della sicurezza delle informazioni;
revisioni della sicurezza delle informazioni;
crittografia?
I controlli individuati per il trattamento dei rischi per la privacy sono stati confrontati con quelli previsti dall’Allegato A della norma, verificando che non siano stati omessi controlli necessari?
È stata redatta una Dichiarazione di Applicabilità (SoA) che includa:
i controlli necessari;
la motivazione della loro inclusione;
lo stato di implementazione dei controlli;
la motivazione dell’eventuale esclusione di controlli dell’Allegato A?
È stato formulato un piano di trattamento dei rischi per la privacy, coerente con i risultati della valutazione dei rischi?
Il piano di trattamento dei rischi per la privacy è stato approvato dai responsabili dei rischi per la privacy ed è stata formalizzata l’accettazione dei rischi residui?
L’organizzazione tiene conto delle indicazioni dell’Allegato B per l’attuazione dei controlli selezionati per il trattamento dei rischi per la privacy?
L’organizzazione conserva informazioni documentate relative al processo di gestione dei rischi per la privacy, inclusi piano di trattamento, SoA e approvazioni?</t>
  </si>
  <si>
    <t>9001
14001
45001
39001
37001
37301
20121
50001
27001
27701</t>
  </si>
  <si>
    <t>Valutazione dei rischi per la Privacy (Privacy security risk assessment)</t>
  </si>
  <si>
    <t>Trattamento dei rischi per la Privacy (Privacy risk treatment)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</si>
</sst>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Aptos Narrow"/>
      <family val="2"/>
      <scheme val="minor"/>
    </font>
    <font>
      <b/>
      <sz val="11"/>
      <color theme="1"/>
      <name val="Aptos Narrow"/>
      <family val="2"/>
      <scheme val="minor"/>
    </font>
    <font>
      <sz val="10"/>
      <color theme="1"/>
      <name val="Arial"/>
      <family val="2"/>
    </font>
    <font>
      <sz val="10"/>
      <color rgb="FF000000"/>
      <name val="Arial"/>
      <family val="2"/>
    </font>
    <font>
      <b/>
      <sz val="11"/>
      <color rgb="FFFF0000"/>
      <name val="Aptos Narrow"/>
      <family val="2"/>
      <scheme val="minor"/>
    </font>
    <font>
      <sz val="9.5"/>
      <color rgb="FF161616"/>
      <name val="Arial"/>
      <family val="2"/>
    </font>
    <font>
      <sz val="8"/>
      <name val="Aptos Narrow"/>
      <family val="2"/>
      <scheme val="minor"/>
    </font>
    <font>
      <b/>
      <sz val="12"/>
      <color theme="1"/>
      <name val="Aptos Narrow"/>
      <family val="2"/>
      <scheme val="minor"/>
    </font>
    <font>
      <sz val="11"/>
      <color rgb="FFFF0000"/>
      <name val="Aptos Narrow"/>
      <family val="2"/>
      <scheme val="minor"/>
    </font>
    <font>
      <b/>
      <sz val="10"/>
      <color rgb="FF000000"/>
      <name val="Arial"/>
      <family val="2"/>
    </font>
    <font>
      <sz val="10"/>
      <color rgb="FFFF0000"/>
      <name val="Arial"/>
      <family val="2"/>
    </font>
    <font>
      <sz val="10"/>
      <color rgb="FF00B0F0"/>
      <name val="Arial"/>
      <family val="2"/>
    </font>
    <font>
      <sz val="11"/>
      <color rgb="FF00B0F0"/>
      <name val="Aptos Narrow"/>
      <family val="2"/>
      <scheme val="minor"/>
    </font>
    <font>
      <b/>
      <u/>
      <sz val="11"/>
      <color rgb="FFFF0000"/>
      <name val="Aptos Narrow"/>
      <family val="2"/>
      <scheme val="minor"/>
    </font>
    <font>
      <sz val="10"/>
      <color rgb="FF000000"/>
      <name val="Aptos Narrow"/>
      <family val="2"/>
    </font>
    <font>
      <sz val="8.5"/>
      <color rgb="FF000000"/>
      <name val="Arial"/>
      <family val="2"/>
    </font>
    <font>
      <sz val="12"/>
      <color theme="1"/>
      <name val="Aptos Narrow"/>
      <family val="2"/>
      <scheme val="minor"/>
    </font>
    <font>
      <u/>
      <sz val="11"/>
      <color theme="1"/>
      <name val="Aptos Narrow"/>
      <family val="2"/>
      <scheme val="minor"/>
    </font>
    <font>
      <sz val="11"/>
      <color theme="4" tint="0.39997558519241921"/>
      <name val="Aptos Narrow"/>
      <family val="2"/>
      <scheme val="minor"/>
    </font>
    <font>
      <sz val="10"/>
      <color theme="4"/>
      <name val="Arial"/>
      <family val="2"/>
    </font>
    <font>
      <i/>
      <sz val="11"/>
      <color theme="4" tint="-0.499984740745262"/>
      <name val="Aptos Narrow"/>
      <family val="2"/>
      <scheme val="minor"/>
    </font>
    <font>
      <sz val="11"/>
      <name val="Aptos Narrow"/>
      <family val="2"/>
      <scheme val="minor"/>
    </font>
    <font>
      <sz val="10"/>
      <name val="Arial"/>
      <family val="2"/>
    </font>
    <font>
      <b/>
      <sz val="11"/>
      <color rgb="FF000000"/>
      <name val="Arial"/>
      <family val="2"/>
    </font>
  </fonts>
  <fills count="6">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59999389629810485"/>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s>
  <cellStyleXfs count="1">
    <xf numFmtId="0" fontId="0" fillId="0" borderId="0"/>
  </cellStyleXfs>
  <cellXfs count="207">
    <xf numFmtId="0" fontId="0" fillId="0" borderId="0" xfId="0"/>
    <xf numFmtId="0" fontId="0" fillId="0" borderId="11" xfId="0" applyBorder="1" applyAlignment="1">
      <alignment horizontal="center" vertical="center"/>
    </xf>
    <xf numFmtId="0" fontId="0" fillId="0" borderId="1" xfId="0" applyBorder="1" applyAlignment="1">
      <alignment horizontal="center" vertical="center"/>
    </xf>
    <xf numFmtId="0" fontId="0" fillId="0" borderId="9" xfId="0" applyBorder="1" applyAlignment="1">
      <alignment horizontal="center" vertical="center"/>
    </xf>
    <xf numFmtId="0" fontId="1" fillId="3" borderId="0" xfId="0" applyFont="1" applyFill="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1" fillId="2" borderId="10" xfId="0" applyFont="1" applyFill="1" applyBorder="1" applyAlignment="1">
      <alignment horizontal="center"/>
    </xf>
    <xf numFmtId="0" fontId="1" fillId="2" borderId="8" xfId="0" applyFont="1" applyFill="1" applyBorder="1" applyAlignment="1">
      <alignment horizontal="center"/>
    </xf>
    <xf numFmtId="0" fontId="1" fillId="2" borderId="14" xfId="0" applyFont="1" applyFill="1" applyBorder="1" applyAlignment="1">
      <alignment horizontal="center" vertical="center"/>
    </xf>
    <xf numFmtId="0" fontId="1" fillId="2" borderId="16" xfId="0" applyFont="1" applyFill="1" applyBorder="1" applyAlignment="1">
      <alignment horizontal="center" vertical="center"/>
    </xf>
    <xf numFmtId="0" fontId="0" fillId="0" borderId="12" xfId="0" applyBorder="1" applyAlignment="1">
      <alignment horizontal="center"/>
    </xf>
    <xf numFmtId="0" fontId="0" fillId="0" borderId="1" xfId="0" applyBorder="1" applyAlignment="1">
      <alignment horizontal="center"/>
    </xf>
    <xf numFmtId="0" fontId="0" fillId="0" borderId="13" xfId="0" applyBorder="1" applyAlignment="1">
      <alignment horizontal="center"/>
    </xf>
    <xf numFmtId="0" fontId="3" fillId="4" borderId="1" xfId="0" applyFont="1" applyFill="1" applyBorder="1" applyAlignment="1">
      <alignment horizontal="center" vertical="center" wrapText="1"/>
    </xf>
    <xf numFmtId="0" fontId="0" fillId="4" borderId="1" xfId="0" applyFill="1" applyBorder="1" applyAlignment="1">
      <alignment horizontal="center" vertical="center"/>
    </xf>
    <xf numFmtId="0" fontId="0" fillId="4" borderId="1" xfId="0" applyFill="1" applyBorder="1" applyAlignment="1">
      <alignment horizontal="center" vertical="center" wrapText="1"/>
    </xf>
    <xf numFmtId="0" fontId="3" fillId="4" borderId="11" xfId="0" applyFont="1" applyFill="1" applyBorder="1" applyAlignment="1">
      <alignment horizontal="center" vertical="center" wrapText="1"/>
    </xf>
    <xf numFmtId="0" fontId="3" fillId="4" borderId="13"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0" fillId="4" borderId="1" xfId="0" applyFill="1" applyBorder="1"/>
    <xf numFmtId="0" fontId="3" fillId="4" borderId="3" xfId="0" applyFont="1" applyFill="1" applyBorder="1" applyAlignment="1">
      <alignment vertical="center" wrapText="1"/>
    </xf>
    <xf numFmtId="0" fontId="0" fillId="0" borderId="14" xfId="0" applyBorder="1" applyAlignment="1">
      <alignment horizontal="center" vertical="center"/>
    </xf>
    <xf numFmtId="0" fontId="3" fillId="4" borderId="19" xfId="0" applyFont="1" applyFill="1" applyBorder="1" applyAlignment="1">
      <alignment horizontal="center" vertical="center" wrapText="1"/>
    </xf>
    <xf numFmtId="0" fontId="3" fillId="4" borderId="18" xfId="0" applyFont="1" applyFill="1" applyBorder="1" applyAlignment="1">
      <alignment horizontal="center" vertical="center" wrapText="1"/>
    </xf>
    <xf numFmtId="0" fontId="3" fillId="4" borderId="21" xfId="0" applyFont="1" applyFill="1" applyBorder="1" applyAlignment="1">
      <alignment horizontal="center" vertical="center" wrapText="1"/>
    </xf>
    <xf numFmtId="0" fontId="3" fillId="0" borderId="12" xfId="0" applyFont="1" applyBorder="1" applyAlignment="1">
      <alignment horizontal="center" vertical="center" wrapText="1"/>
    </xf>
    <xf numFmtId="0" fontId="0" fillId="0" borderId="12" xfId="0" applyBorder="1" applyAlignment="1">
      <alignment horizontal="center" vertical="center" wrapText="1"/>
    </xf>
    <xf numFmtId="0" fontId="0" fillId="0" borderId="0" xfId="0" applyAlignment="1">
      <alignment horizontal="center"/>
    </xf>
    <xf numFmtId="0" fontId="3" fillId="0" borderId="22" xfId="0" applyFont="1" applyBorder="1" applyAlignment="1">
      <alignment horizontal="center" vertical="center" wrapText="1"/>
    </xf>
    <xf numFmtId="0" fontId="0" fillId="0" borderId="0" xfId="0" applyAlignment="1">
      <alignment horizontal="center" vertical="center"/>
    </xf>
    <xf numFmtId="0" fontId="3" fillId="4" borderId="23" xfId="0" applyFont="1" applyFill="1" applyBorder="1" applyAlignment="1">
      <alignment horizontal="center" vertical="center" wrapText="1"/>
    </xf>
    <xf numFmtId="0" fontId="3" fillId="4" borderId="24"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1" fillId="4" borderId="1" xfId="0" applyFont="1" applyFill="1" applyBorder="1" applyAlignment="1">
      <alignment horizontal="center" vertical="center"/>
    </xf>
    <xf numFmtId="0" fontId="0" fillId="4" borderId="1" xfId="0" applyFill="1" applyBorder="1" applyAlignment="1">
      <alignment horizontal="center"/>
    </xf>
    <xf numFmtId="0" fontId="0" fillId="4" borderId="1" xfId="0" applyFill="1" applyBorder="1" applyAlignment="1">
      <alignment wrapText="1"/>
    </xf>
    <xf numFmtId="0" fontId="0" fillId="4" borderId="1" xfId="0" applyFill="1" applyBorder="1" applyAlignment="1">
      <alignment vertical="top" wrapText="1"/>
    </xf>
    <xf numFmtId="0" fontId="1" fillId="4" borderId="1" xfId="0" applyFont="1" applyFill="1" applyBorder="1" applyAlignment="1">
      <alignment horizontal="center" vertical="top"/>
    </xf>
    <xf numFmtId="0" fontId="0" fillId="4" borderId="1" xfId="0" applyFill="1" applyBorder="1" applyAlignment="1">
      <alignment horizontal="center" vertical="top"/>
    </xf>
    <xf numFmtId="0" fontId="1" fillId="0" borderId="0" xfId="0" applyFont="1" applyAlignment="1">
      <alignment horizontal="center" vertical="center"/>
    </xf>
    <xf numFmtId="0" fontId="1" fillId="0" borderId="10" xfId="0" applyFont="1" applyBorder="1" applyAlignment="1">
      <alignment horizontal="center" vertical="center"/>
    </xf>
    <xf numFmtId="49" fontId="12" fillId="0" borderId="10" xfId="0" applyNumberFormat="1" applyFont="1" applyBorder="1" applyAlignment="1">
      <alignment vertical="top" wrapText="1"/>
    </xf>
    <xf numFmtId="0" fontId="7" fillId="4" borderId="1" xfId="0" applyFont="1" applyFill="1" applyBorder="1" applyAlignment="1">
      <alignment wrapText="1"/>
    </xf>
    <xf numFmtId="0" fontId="0" fillId="0" borderId="25" xfId="0" applyBorder="1"/>
    <xf numFmtId="0" fontId="7" fillId="4" borderId="1" xfId="0" applyFont="1" applyFill="1" applyBorder="1" applyAlignment="1">
      <alignment horizontal="center"/>
    </xf>
    <xf numFmtId="0" fontId="3" fillId="4" borderId="1" xfId="0" applyFont="1" applyFill="1" applyBorder="1" applyAlignment="1">
      <alignment vertical="center" wrapText="1"/>
    </xf>
    <xf numFmtId="0" fontId="1" fillId="4" borderId="11" xfId="0" applyFont="1" applyFill="1" applyBorder="1" applyAlignment="1">
      <alignment horizontal="center" vertical="top"/>
    </xf>
    <xf numFmtId="0" fontId="0" fillId="4" borderId="11" xfId="0" applyFill="1" applyBorder="1" applyAlignment="1">
      <alignment horizontal="center" vertical="top"/>
    </xf>
    <xf numFmtId="0" fontId="0" fillId="4" borderId="11" xfId="0" applyFill="1" applyBorder="1" applyAlignment="1">
      <alignment vertical="top" wrapText="1"/>
    </xf>
    <xf numFmtId="0" fontId="3" fillId="4" borderId="1" xfId="0" applyFont="1" applyFill="1" applyBorder="1" applyAlignment="1">
      <alignment horizontal="left" vertical="center" wrapText="1"/>
    </xf>
    <xf numFmtId="0" fontId="0" fillId="4" borderId="3" xfId="0" applyFill="1" applyBorder="1" applyAlignment="1">
      <alignment wrapText="1"/>
    </xf>
    <xf numFmtId="0" fontId="7" fillId="5" borderId="1" xfId="0" applyFont="1" applyFill="1" applyBorder="1" applyAlignment="1">
      <alignment horizontal="center"/>
    </xf>
    <xf numFmtId="0" fontId="7" fillId="0" borderId="1" xfId="0" applyFont="1" applyBorder="1" applyAlignment="1">
      <alignment horizontal="center"/>
    </xf>
    <xf numFmtId="0" fontId="2" fillId="4" borderId="1" xfId="0" applyFont="1" applyFill="1" applyBorder="1" applyAlignment="1">
      <alignment wrapText="1"/>
    </xf>
    <xf numFmtId="0" fontId="2" fillId="4" borderId="1" xfId="0" applyFont="1" applyFill="1" applyBorder="1" applyAlignment="1">
      <alignment vertical="center" wrapText="1"/>
    </xf>
    <xf numFmtId="0" fontId="0" fillId="4" borderId="1" xfId="0" applyFill="1" applyBorder="1" applyAlignment="1">
      <alignment horizontal="left" vertical="center"/>
    </xf>
    <xf numFmtId="0" fontId="0" fillId="4" borderId="1" xfId="0" applyFill="1" applyBorder="1" applyAlignment="1">
      <alignment horizontal="left" vertical="center" wrapText="1"/>
    </xf>
    <xf numFmtId="0" fontId="0" fillId="0" borderId="1" xfId="0" applyBorder="1" applyProtection="1">
      <protection locked="0"/>
    </xf>
    <xf numFmtId="0" fontId="1" fillId="3" borderId="1" xfId="0" applyFont="1" applyFill="1" applyBorder="1" applyAlignment="1" applyProtection="1">
      <alignment horizontal="center" vertical="center"/>
      <protection locked="0"/>
    </xf>
    <xf numFmtId="0" fontId="0" fillId="0" borderId="4" xfId="0" applyBorder="1" applyProtection="1">
      <protection locked="0"/>
    </xf>
    <xf numFmtId="0" fontId="0" fillId="0" borderId="11" xfId="0" applyBorder="1" applyProtection="1">
      <protection locked="0"/>
    </xf>
    <xf numFmtId="0" fontId="0" fillId="0" borderId="5" xfId="0" applyBorder="1" applyProtection="1">
      <protection locked="0"/>
    </xf>
    <xf numFmtId="0" fontId="0" fillId="0" borderId="3" xfId="0" applyBorder="1" applyProtection="1">
      <protection locked="0"/>
    </xf>
    <xf numFmtId="0" fontId="0" fillId="0" borderId="9" xfId="0" applyBorder="1" applyProtection="1">
      <protection locked="0"/>
    </xf>
    <xf numFmtId="0" fontId="0" fillId="0" borderId="7" xfId="0" applyBorder="1" applyProtection="1">
      <protection locked="0"/>
    </xf>
    <xf numFmtId="0" fontId="0" fillId="0" borderId="0" xfId="0" applyProtection="1">
      <protection locked="0"/>
    </xf>
    <xf numFmtId="0" fontId="0" fillId="0" borderId="11"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1" fillId="0" borderId="1" xfId="0" applyFont="1" applyBorder="1" applyAlignment="1" applyProtection="1">
      <alignment vertical="center" wrapText="1"/>
      <protection locked="0"/>
    </xf>
    <xf numFmtId="0" fontId="3" fillId="3" borderId="1" xfId="0" applyFont="1" applyFill="1" applyBorder="1" applyAlignment="1" applyProtection="1">
      <alignment horizontal="center" vertical="center" wrapText="1"/>
      <protection locked="0"/>
    </xf>
    <xf numFmtId="0" fontId="1" fillId="3" borderId="0" xfId="0" applyFont="1" applyFill="1" applyAlignment="1">
      <alignment horizontal="center" vertical="center"/>
    </xf>
    <xf numFmtId="49" fontId="12" fillId="3" borderId="0" xfId="0" applyNumberFormat="1" applyFont="1" applyFill="1" applyAlignment="1" applyProtection="1">
      <alignment vertical="top" wrapText="1"/>
      <protection locked="0"/>
    </xf>
    <xf numFmtId="0" fontId="0" fillId="3" borderId="0" xfId="0" applyFill="1"/>
    <xf numFmtId="0" fontId="17" fillId="0" borderId="0" xfId="0" applyFont="1"/>
    <xf numFmtId="0" fontId="7" fillId="4" borderId="1" xfId="0" applyFont="1" applyFill="1" applyBorder="1" applyAlignment="1">
      <alignment horizontal="center" vertical="center"/>
    </xf>
    <xf numFmtId="0" fontId="0" fillId="0" borderId="0" xfId="0" applyAlignment="1" applyProtection="1">
      <alignment horizontal="center" vertical="center"/>
      <protection locked="0"/>
    </xf>
    <xf numFmtId="0" fontId="0" fillId="4" borderId="3" xfId="0" applyFill="1" applyBorder="1" applyAlignment="1">
      <alignment horizontal="center" vertical="center" wrapText="1"/>
    </xf>
    <xf numFmtId="0" fontId="0" fillId="0" borderId="11" xfId="0" applyBorder="1" applyAlignment="1" applyProtection="1">
      <alignment wrapText="1"/>
      <protection locked="0"/>
    </xf>
    <xf numFmtId="0" fontId="0" fillId="0" borderId="0" xfId="0" applyAlignment="1">
      <alignment horizontal="left"/>
    </xf>
    <xf numFmtId="0" fontId="7" fillId="4" borderId="27" xfId="0" applyFont="1" applyFill="1" applyBorder="1" applyAlignment="1">
      <alignment horizontal="center" vertical="center"/>
    </xf>
    <xf numFmtId="0" fontId="7" fillId="4" borderId="24" xfId="0" applyFont="1" applyFill="1" applyBorder="1" applyAlignment="1">
      <alignment horizontal="center" vertical="center"/>
    </xf>
    <xf numFmtId="0" fontId="1" fillId="4" borderId="30" xfId="0" applyFont="1" applyFill="1" applyBorder="1" applyAlignment="1">
      <alignment horizontal="center" vertical="center" wrapText="1"/>
    </xf>
    <xf numFmtId="0" fontId="0" fillId="0" borderId="11" xfId="0" applyBorder="1" applyAlignment="1" applyProtection="1">
      <alignment horizontal="left" vertical="center" wrapText="1"/>
      <protection locked="0"/>
    </xf>
    <xf numFmtId="0" fontId="3" fillId="4" borderId="1" xfId="0" applyFont="1" applyFill="1" applyBorder="1" applyAlignment="1">
      <alignment vertical="top" wrapText="1"/>
    </xf>
    <xf numFmtId="0" fontId="0" fillId="0" borderId="13" xfId="0" applyBorder="1" applyAlignment="1" applyProtection="1">
      <alignment wrapText="1"/>
      <protection locked="0"/>
    </xf>
    <xf numFmtId="0" fontId="0" fillId="0" borderId="32" xfId="0"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0" fillId="0" borderId="32" xfId="0" quotePrefix="1" applyBorder="1" applyAlignment="1" applyProtection="1">
      <alignment horizontal="center" vertical="center"/>
      <protection locked="0"/>
    </xf>
    <xf numFmtId="0" fontId="0" fillId="0" borderId="1" xfId="0" applyBorder="1" applyAlignment="1">
      <alignment horizontal="left" vertical="center" wrapText="1"/>
    </xf>
    <xf numFmtId="0" fontId="0" fillId="0" borderId="0" xfId="0" applyAlignment="1">
      <alignment horizontal="left" vertical="center" wrapText="1"/>
    </xf>
    <xf numFmtId="0" fontId="3" fillId="3" borderId="1" xfId="0" applyFont="1" applyFill="1" applyBorder="1" applyAlignment="1" applyProtection="1">
      <alignment horizontal="left" vertical="center" wrapText="1"/>
      <protection locked="0"/>
    </xf>
    <xf numFmtId="0" fontId="3" fillId="3" borderId="1" xfId="0" applyFont="1" applyFill="1" applyBorder="1" applyAlignment="1" applyProtection="1">
      <alignment vertical="center" wrapText="1"/>
      <protection locked="0"/>
    </xf>
    <xf numFmtId="0" fontId="0" fillId="0" borderId="0" xfId="0" applyAlignment="1">
      <alignment vertical="center"/>
    </xf>
    <xf numFmtId="0" fontId="0" fillId="0" borderId="1" xfId="0" applyBorder="1" applyAlignment="1" applyProtection="1">
      <alignment horizontal="center" vertical="center" wrapText="1"/>
      <protection locked="0"/>
    </xf>
    <xf numFmtId="0" fontId="4" fillId="0" borderId="0" xfId="0" applyFont="1"/>
    <xf numFmtId="0" fontId="0" fillId="0" borderId="32" xfId="0" applyBorder="1" applyAlignment="1">
      <alignment horizontal="center"/>
    </xf>
    <xf numFmtId="0" fontId="0" fillId="0" borderId="13" xfId="0" applyBorder="1" applyAlignment="1">
      <alignment horizontal="left" vertical="center" wrapText="1"/>
    </xf>
    <xf numFmtId="0" fontId="0" fillId="0" borderId="33" xfId="0" applyBorder="1" applyAlignment="1">
      <alignment horizontal="center"/>
    </xf>
    <xf numFmtId="0" fontId="1" fillId="4" borderId="42" xfId="0" applyFont="1" applyFill="1" applyBorder="1" applyAlignment="1">
      <alignment horizontal="center" vertical="center"/>
    </xf>
    <xf numFmtId="0" fontId="1" fillId="4" borderId="11" xfId="0" applyFont="1" applyFill="1" applyBorder="1" applyAlignment="1">
      <alignment horizontal="center" vertical="center"/>
    </xf>
    <xf numFmtId="0" fontId="1" fillId="0" borderId="1" xfId="0" applyFont="1" applyBorder="1"/>
    <xf numFmtId="0" fontId="1" fillId="0" borderId="13" xfId="0" applyFont="1" applyBorder="1"/>
    <xf numFmtId="0" fontId="0" fillId="0" borderId="39" xfId="0" applyBorder="1" applyAlignment="1">
      <alignment horizontal="center" vertical="center"/>
    </xf>
    <xf numFmtId="0" fontId="0" fillId="0" borderId="39" xfId="0" applyBorder="1" applyAlignment="1">
      <alignment horizontal="center"/>
    </xf>
    <xf numFmtId="0" fontId="0" fillId="0" borderId="41" xfId="0" applyBorder="1" applyAlignment="1">
      <alignment horizontal="center"/>
    </xf>
    <xf numFmtId="0" fontId="1" fillId="4" borderId="11" xfId="0" applyFont="1" applyFill="1" applyBorder="1" applyAlignment="1">
      <alignment horizontal="left" vertical="center" wrapText="1"/>
    </xf>
    <xf numFmtId="0" fontId="0" fillId="0" borderId="2" xfId="0" applyBorder="1" applyAlignment="1" applyProtection="1">
      <alignment wrapText="1"/>
      <protection locked="0"/>
    </xf>
    <xf numFmtId="0" fontId="1" fillId="4" borderId="4" xfId="0" applyFont="1" applyFill="1" applyBorder="1" applyAlignment="1">
      <alignment horizontal="center" vertical="center"/>
    </xf>
    <xf numFmtId="49" fontId="0" fillId="0" borderId="9" xfId="0" applyNumberFormat="1" applyBorder="1" applyAlignment="1" applyProtection="1">
      <alignment horizontal="left" vertical="top" wrapText="1"/>
      <protection locked="0"/>
    </xf>
    <xf numFmtId="0" fontId="1" fillId="4" borderId="1" xfId="0" applyFont="1" applyFill="1" applyBorder="1" applyAlignment="1">
      <alignment horizontal="left" vertical="center"/>
    </xf>
    <xf numFmtId="0" fontId="3" fillId="0" borderId="1" xfId="0" applyFont="1" applyBorder="1" applyAlignment="1">
      <alignment horizontal="left" vertical="center" wrapText="1"/>
    </xf>
    <xf numFmtId="49" fontId="12" fillId="0" borderId="9" xfId="0" applyNumberFormat="1" applyFont="1" applyBorder="1" applyAlignment="1" applyProtection="1">
      <alignment horizontal="left" vertical="top" wrapText="1"/>
      <protection locked="0"/>
    </xf>
    <xf numFmtId="49" fontId="21" fillId="0" borderId="9" xfId="0" applyNumberFormat="1" applyFont="1" applyBorder="1" applyAlignment="1" applyProtection="1">
      <alignment horizontal="left" vertical="top" wrapText="1"/>
      <protection locked="0"/>
    </xf>
    <xf numFmtId="49" fontId="12" fillId="0" borderId="1" xfId="0" applyNumberFormat="1" applyFont="1" applyBorder="1" applyAlignment="1" applyProtection="1">
      <alignment horizontal="left" vertical="top" wrapText="1"/>
      <protection locked="0"/>
    </xf>
    <xf numFmtId="0" fontId="18" fillId="0" borderId="9" xfId="0" applyFont="1" applyBorder="1" applyAlignment="1" applyProtection="1">
      <alignment horizontal="left" vertical="top" wrapText="1"/>
      <protection locked="0"/>
    </xf>
    <xf numFmtId="49" fontId="12" fillId="0" borderId="7" xfId="0" applyNumberFormat="1" applyFont="1" applyBorder="1" applyAlignment="1" applyProtection="1">
      <alignment horizontal="left" vertical="top" wrapText="1"/>
      <protection locked="0"/>
    </xf>
    <xf numFmtId="49" fontId="21" fillId="0" borderId="7" xfId="0" applyNumberFormat="1" applyFont="1" applyBorder="1" applyAlignment="1" applyProtection="1">
      <alignment horizontal="left" vertical="top" wrapText="1"/>
      <protection locked="0"/>
    </xf>
    <xf numFmtId="0" fontId="11" fillId="0" borderId="9" xfId="0"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3" fillId="0" borderId="9" xfId="0" applyFont="1" applyBorder="1" applyAlignment="1" applyProtection="1">
      <alignment horizontal="center" vertical="center" wrapText="1"/>
      <protection locked="0"/>
    </xf>
    <xf numFmtId="0" fontId="22" fillId="0" borderId="9"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11" fillId="0" borderId="9" xfId="0" applyFont="1" applyBorder="1" applyAlignment="1" applyProtection="1">
      <alignment horizontal="center" vertical="top" wrapText="1"/>
      <protection locked="0"/>
    </xf>
    <xf numFmtId="0" fontId="11" fillId="0" borderId="9" xfId="0" applyFont="1" applyBorder="1" applyAlignment="1" applyProtection="1">
      <alignment horizontal="center" vertical="center" wrapText="1"/>
      <protection locked="0"/>
    </xf>
    <xf numFmtId="0" fontId="7" fillId="0" borderId="1" xfId="0" applyFont="1" applyBorder="1" applyAlignment="1">
      <alignment horizontal="center" wrapText="1"/>
    </xf>
    <xf numFmtId="0" fontId="1" fillId="2" borderId="15" xfId="0" applyFont="1" applyFill="1" applyBorder="1" applyAlignment="1">
      <alignment horizontal="center" vertical="center" wrapText="1"/>
    </xf>
    <xf numFmtId="0" fontId="0" fillId="0" borderId="4" xfId="0" applyBorder="1" applyAlignment="1" applyProtection="1">
      <alignment wrapText="1"/>
      <protection locked="0"/>
    </xf>
    <xf numFmtId="0" fontId="0" fillId="0" borderId="6" xfId="0" applyBorder="1" applyAlignment="1" applyProtection="1">
      <alignment wrapText="1"/>
      <protection locked="0"/>
    </xf>
    <xf numFmtId="0" fontId="0" fillId="0" borderId="0" xfId="0" applyAlignment="1">
      <alignment wrapText="1"/>
    </xf>
    <xf numFmtId="0" fontId="1" fillId="4" borderId="1" xfId="0" applyFont="1" applyFill="1" applyBorder="1" applyAlignment="1">
      <alignment horizontal="center" vertical="center"/>
    </xf>
    <xf numFmtId="0" fontId="1" fillId="4" borderId="7" xfId="0" applyFont="1" applyFill="1" applyBorder="1" applyAlignment="1">
      <alignment horizontal="center" vertical="center"/>
    </xf>
    <xf numFmtId="0" fontId="1" fillId="4" borderId="6" xfId="0" applyFont="1" applyFill="1" applyBorder="1" applyAlignment="1">
      <alignment horizontal="center" vertical="center"/>
    </xf>
    <xf numFmtId="0" fontId="0" fillId="4" borderId="1" xfId="0" applyFill="1" applyBorder="1" applyAlignment="1">
      <alignment horizontal="center" vertical="center"/>
    </xf>
    <xf numFmtId="49" fontId="21" fillId="0" borderId="9" xfId="0" applyNumberFormat="1" applyFont="1" applyBorder="1" applyAlignment="1" applyProtection="1">
      <alignment horizontal="left" vertical="top" wrapText="1"/>
      <protection locked="0"/>
    </xf>
    <xf numFmtId="49" fontId="21" fillId="0" borderId="22" xfId="0" applyNumberFormat="1" applyFont="1" applyBorder="1" applyAlignment="1" applyProtection="1">
      <alignment horizontal="left" vertical="top" wrapText="1"/>
      <protection locked="0"/>
    </xf>
    <xf numFmtId="49" fontId="21" fillId="0" borderId="11" xfId="0" applyNumberFormat="1" applyFont="1" applyBorder="1" applyAlignment="1" applyProtection="1">
      <alignment horizontal="left" vertical="top" wrapText="1"/>
      <protection locked="0"/>
    </xf>
    <xf numFmtId="0" fontId="1" fillId="4" borderId="25"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26" xfId="0" applyFont="1" applyFill="1" applyBorder="1" applyAlignment="1">
      <alignment horizontal="center" vertical="center"/>
    </xf>
    <xf numFmtId="0" fontId="11" fillId="0" borderId="9" xfId="0" applyFont="1" applyBorder="1" applyAlignment="1" applyProtection="1">
      <alignment horizontal="left" vertical="top" wrapText="1"/>
      <protection locked="0"/>
    </xf>
    <xf numFmtId="0" fontId="11" fillId="0" borderId="22" xfId="0" applyFont="1" applyBorder="1" applyAlignment="1" applyProtection="1">
      <alignment horizontal="left" vertical="top" wrapText="1"/>
      <protection locked="0"/>
    </xf>
    <xf numFmtId="0" fontId="11" fillId="0" borderId="11" xfId="0" applyFont="1" applyBorder="1" applyAlignment="1" applyProtection="1">
      <alignment horizontal="left" vertical="top" wrapText="1"/>
      <protection locked="0"/>
    </xf>
    <xf numFmtId="0" fontId="22" fillId="0" borderId="9"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11" xfId="0" applyFont="1" applyBorder="1" applyAlignment="1" applyProtection="1">
      <alignment horizontal="left" vertical="top" wrapText="1"/>
      <protection locked="0"/>
    </xf>
    <xf numFmtId="0" fontId="1" fillId="4" borderId="3" xfId="0" applyFont="1" applyFill="1" applyBorder="1" applyAlignment="1">
      <alignment horizontal="center" vertical="center"/>
    </xf>
    <xf numFmtId="0" fontId="1" fillId="4" borderId="2" xfId="0" applyFont="1" applyFill="1" applyBorder="1" applyAlignment="1">
      <alignment horizontal="center" vertical="center"/>
    </xf>
    <xf numFmtId="0" fontId="3" fillId="4" borderId="1" xfId="0" applyFont="1" applyFill="1" applyBorder="1" applyAlignment="1">
      <alignment horizontal="center" vertical="center" wrapText="1"/>
    </xf>
    <xf numFmtId="0" fontId="1" fillId="4" borderId="24" xfId="0" applyFont="1" applyFill="1" applyBorder="1" applyAlignment="1" applyProtection="1">
      <alignment horizontal="left" vertical="center"/>
      <protection locked="0"/>
    </xf>
    <xf numFmtId="0" fontId="3" fillId="3" borderId="23" xfId="0" applyFont="1" applyFill="1" applyBorder="1" applyAlignment="1" applyProtection="1">
      <alignment vertical="top" wrapText="1"/>
      <protection locked="0"/>
    </xf>
    <xf numFmtId="0" fontId="3" fillId="3" borderId="22" xfId="0" applyFont="1" applyFill="1" applyBorder="1" applyAlignment="1" applyProtection="1">
      <alignment vertical="top" wrapText="1"/>
      <protection locked="0"/>
    </xf>
    <xf numFmtId="0" fontId="3" fillId="3" borderId="11" xfId="0" applyFont="1" applyFill="1" applyBorder="1" applyAlignment="1" applyProtection="1">
      <alignment vertical="top" wrapText="1"/>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3" fillId="4" borderId="9"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11"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4" borderId="25" xfId="0" applyFont="1" applyFill="1" applyBorder="1" applyAlignment="1">
      <alignment horizontal="center" vertical="center" wrapText="1"/>
    </xf>
    <xf numFmtId="0" fontId="3" fillId="4" borderId="17"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4" borderId="4" xfId="0" applyFont="1" applyFill="1" applyBorder="1" applyAlignment="1">
      <alignment horizontal="center" vertical="center" wrapText="1"/>
    </xf>
    <xf numFmtId="0" fontId="3" fillId="4" borderId="38" xfId="0" applyFont="1" applyFill="1" applyBorder="1" applyAlignment="1">
      <alignment horizontal="center" vertical="center" wrapText="1"/>
    </xf>
    <xf numFmtId="0" fontId="3" fillId="4" borderId="34" xfId="0" applyFont="1" applyFill="1" applyBorder="1" applyAlignment="1">
      <alignment horizontal="center" vertical="center" wrapText="1"/>
    </xf>
    <xf numFmtId="0" fontId="3" fillId="4" borderId="35"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3" fillId="4" borderId="14" xfId="0" applyFont="1" applyFill="1" applyBorder="1" applyAlignment="1">
      <alignment horizontal="center" vertical="center" wrapText="1"/>
    </xf>
    <xf numFmtId="0" fontId="3" fillId="4" borderId="13" xfId="0" applyFont="1" applyFill="1" applyBorder="1" applyAlignment="1">
      <alignment horizontal="center" vertical="center" wrapText="1"/>
    </xf>
    <xf numFmtId="0" fontId="3" fillId="4" borderId="36" xfId="0" applyFont="1" applyFill="1" applyBorder="1" applyAlignment="1">
      <alignment horizontal="center" vertical="center" wrapText="1"/>
    </xf>
    <xf numFmtId="0" fontId="3" fillId="4" borderId="37" xfId="0" applyFont="1" applyFill="1" applyBorder="1" applyAlignment="1">
      <alignment horizontal="center" vertical="center" wrapText="1"/>
    </xf>
    <xf numFmtId="0" fontId="0" fillId="0" borderId="9" xfId="0" applyBorder="1" applyAlignment="1" applyProtection="1">
      <alignment vertical="top" wrapText="1"/>
      <protection locked="0"/>
    </xf>
    <xf numFmtId="0" fontId="0" fillId="0" borderId="22" xfId="0" applyBorder="1" applyAlignment="1" applyProtection="1">
      <alignment vertical="top" wrapText="1"/>
      <protection locked="0"/>
    </xf>
    <xf numFmtId="0" fontId="0" fillId="0" borderId="11" xfId="0" applyBorder="1" applyAlignment="1" applyProtection="1">
      <alignment vertical="top" wrapText="1"/>
      <protection locked="0"/>
    </xf>
    <xf numFmtId="0" fontId="0" fillId="0" borderId="9" xfId="0" quotePrefix="1" applyBorder="1" applyAlignment="1" applyProtection="1">
      <alignment horizontal="center" vertical="center"/>
      <protection locked="0"/>
    </xf>
    <xf numFmtId="0" fontId="3" fillId="3" borderId="9" xfId="0" applyFont="1" applyFill="1" applyBorder="1" applyAlignment="1" applyProtection="1">
      <alignment vertical="center" wrapText="1"/>
      <protection locked="0"/>
    </xf>
    <xf numFmtId="0" fontId="3" fillId="3" borderId="22" xfId="0" applyFont="1" applyFill="1" applyBorder="1" applyAlignment="1" applyProtection="1">
      <alignment vertical="center" wrapText="1"/>
      <protection locked="0"/>
    </xf>
    <xf numFmtId="0" fontId="3" fillId="3" borderId="11" xfId="0" applyFont="1" applyFill="1" applyBorder="1" applyAlignment="1" applyProtection="1">
      <alignment vertical="center" wrapText="1"/>
      <protection locked="0"/>
    </xf>
    <xf numFmtId="0" fontId="0" fillId="0" borderId="9" xfId="0" applyBorder="1" applyAlignment="1" applyProtection="1">
      <alignment horizontal="center" vertical="center"/>
      <protection locked="0"/>
    </xf>
    <xf numFmtId="0" fontId="3" fillId="3" borderId="23" xfId="0" applyFont="1" applyFill="1" applyBorder="1" applyAlignment="1" applyProtection="1">
      <alignment horizontal="left" vertical="top" wrapText="1"/>
      <protection locked="0"/>
    </xf>
    <xf numFmtId="0" fontId="3" fillId="3" borderId="22"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0" fillId="0" borderId="9" xfId="0" applyBorder="1" applyAlignment="1" applyProtection="1">
      <alignment horizontal="center" vertical="top" wrapText="1"/>
      <protection locked="0"/>
    </xf>
    <xf numFmtId="0" fontId="0" fillId="0" borderId="22" xfId="0" applyBorder="1" applyAlignment="1" applyProtection="1">
      <alignment horizontal="center" vertical="top" wrapText="1"/>
      <protection locked="0"/>
    </xf>
    <xf numFmtId="0" fontId="0" fillId="0" borderId="11" xfId="0" applyBorder="1" applyAlignment="1" applyProtection="1">
      <alignment horizontal="center" vertical="top" wrapText="1"/>
      <protection locked="0"/>
    </xf>
    <xf numFmtId="0" fontId="3" fillId="3" borderId="9" xfId="0" applyFont="1" applyFill="1" applyBorder="1" applyAlignment="1" applyProtection="1">
      <alignment horizontal="center" vertical="center" wrapText="1"/>
      <protection locked="0"/>
    </xf>
    <xf numFmtId="0" fontId="3" fillId="3" borderId="22" xfId="0" applyFont="1" applyFill="1" applyBorder="1" applyAlignment="1" applyProtection="1">
      <alignment horizontal="center" vertical="center" wrapText="1"/>
      <protection locked="0"/>
    </xf>
    <xf numFmtId="0" fontId="3" fillId="3" borderId="11" xfId="0" applyFont="1" applyFill="1" applyBorder="1" applyAlignment="1" applyProtection="1">
      <alignment horizontal="center" vertical="center" wrapText="1"/>
      <protection locked="0"/>
    </xf>
    <xf numFmtId="0" fontId="0" fillId="4" borderId="7" xfId="0" applyFill="1" applyBorder="1" applyAlignment="1">
      <alignment horizontal="center" vertical="center"/>
    </xf>
    <xf numFmtId="0" fontId="0" fillId="4" borderId="6" xfId="0" applyFill="1" applyBorder="1" applyAlignment="1">
      <alignment horizontal="center" vertical="center"/>
    </xf>
    <xf numFmtId="0" fontId="4" fillId="4" borderId="28" xfId="0" applyFont="1" applyFill="1" applyBorder="1" applyAlignment="1">
      <alignment horizontal="center" vertical="center" wrapText="1"/>
    </xf>
    <xf numFmtId="0" fontId="4" fillId="4" borderId="29" xfId="0" applyFont="1" applyFill="1" applyBorder="1" applyAlignment="1">
      <alignment horizontal="center" vertical="center"/>
    </xf>
    <xf numFmtId="0" fontId="4" fillId="4" borderId="31" xfId="0" applyFont="1" applyFill="1" applyBorder="1" applyAlignment="1">
      <alignment horizontal="center" vertical="center"/>
    </xf>
    <xf numFmtId="0" fontId="20" fillId="4" borderId="5" xfId="0" applyFont="1" applyFill="1" applyBorder="1" applyAlignment="1">
      <alignment horizontal="right"/>
    </xf>
    <xf numFmtId="0" fontId="20" fillId="4" borderId="18" xfId="0" applyFont="1" applyFill="1" applyBorder="1" applyAlignment="1">
      <alignment horizontal="right"/>
    </xf>
    <xf numFmtId="0" fontId="20" fillId="4" borderId="4" xfId="0" applyFont="1" applyFill="1" applyBorder="1" applyAlignment="1">
      <alignment horizontal="right"/>
    </xf>
    <xf numFmtId="0" fontId="20" fillId="4" borderId="3" xfId="0" applyFont="1" applyFill="1" applyBorder="1" applyAlignment="1">
      <alignment horizontal="right"/>
    </xf>
    <xf numFmtId="0" fontId="20" fillId="4" borderId="19" xfId="0" applyFont="1" applyFill="1" applyBorder="1" applyAlignment="1">
      <alignment horizontal="right"/>
    </xf>
    <xf numFmtId="0" fontId="20" fillId="4" borderId="2" xfId="0" applyFont="1" applyFill="1" applyBorder="1" applyAlignment="1">
      <alignment horizontal="right"/>
    </xf>
    <xf numFmtId="0" fontId="20" fillId="4" borderId="43" xfId="0" applyFont="1" applyFill="1" applyBorder="1" applyAlignment="1">
      <alignment horizontal="right"/>
    </xf>
    <xf numFmtId="0" fontId="20" fillId="4" borderId="20" xfId="0" applyFont="1" applyFill="1" applyBorder="1" applyAlignment="1">
      <alignment horizontal="right"/>
    </xf>
    <xf numFmtId="0" fontId="20" fillId="4" borderId="40" xfId="0" applyFont="1" applyFill="1" applyBorder="1" applyAlignment="1">
      <alignment horizontal="right"/>
    </xf>
  </cellXfs>
  <cellStyles count="1">
    <cellStyle name="Normale" xfId="0" builtinId="0"/>
  </cellStyles>
  <dxfs count="91">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border outline="0">
        <top style="medium">
          <color rgb="FF000000"/>
        </top>
        <bottom style="thin">
          <color rgb="FF000000"/>
        </bottom>
      </border>
    </dxf>
    <dxf>
      <protection locked="0" hidden="0"/>
    </dxf>
    <dxf>
      <border outline="0">
        <bottom style="medium">
          <color rgb="FF000000"/>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fill>
        <patternFill patternType="solid">
          <fgColor indexed="64"/>
          <bgColor theme="4"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border outline="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rgb="FF000000"/>
        <name val="Arial"/>
        <family val="2"/>
        <scheme val="none"/>
      </font>
      <fill>
        <patternFill patternType="solid">
          <fgColor indexed="64"/>
          <bgColor theme="4" tint="0.79998168889431442"/>
        </patternFill>
      </fill>
      <alignment horizontal="center" vertical="center"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rgb="FF000000"/>
        <name val="Arial"/>
        <family val="2"/>
        <scheme val="none"/>
      </font>
      <fill>
        <patternFill patternType="solid">
          <fgColor indexed="64"/>
          <bgColor theme="4" tint="0.79998168889431442"/>
        </patternFill>
      </fill>
      <alignment horizontal="center" vertical="center" textRotation="0" wrapText="1" indent="0" justifyLastLine="0" shrinkToFit="0" readingOrder="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alignment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diagonalUp="0" diagonalDown="0">
        <left/>
        <right style="thin">
          <color indexed="64"/>
        </right>
        <top/>
        <bottom style="thin">
          <color indexed="64"/>
        </bottom>
        <vertical/>
        <horizontal/>
      </border>
      <protection locked="0" hidden="0"/>
    </dxf>
    <dxf>
      <border outline="0">
        <left style="medium">
          <color indexed="64"/>
        </left>
        <right style="medium">
          <color indexed="64"/>
        </right>
        <top style="medium">
          <color indexed="64"/>
        </top>
        <bottom style="medium">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medium">
          <color indexed="64"/>
        </top>
        <bottom style="thin">
          <color indexed="64"/>
        </bottom>
      </border>
    </dxf>
    <dxf>
      <protection locked="0" hidden="0"/>
    </dxf>
    <dxf>
      <border outline="0">
        <bottom style="medium">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0" tint="-0.249977111117893"/>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Dario Britti" id="{19560274-0B69-493F-A206-9C114FDAA423}" userId="S::d.britti@auditservicecertification.com::b76a3e72-e318-440c-8d67-eb67e1e686c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98E7F3-80FA-489B-98BE-FB32DB240483}" name="punto4" displayName="punto4" ref="B27:E37" totalsRowShown="0" headerRowDxfId="82" dataDxfId="80" headerRowBorderDxfId="81" tableBorderDxfId="79">
  <autoFilter ref="B27:E37" xr:uid="{B298E7F3-80FA-489B-98BE-FB32DB240483}"/>
  <tableColumns count="4">
    <tableColumn id="4" xr3:uid="{191B838C-1D0E-452D-82E6-BDAA89336AF2}" name="Req" dataDxfId="78"/>
    <tableColumn id="1" xr3:uid="{D466653C-75A6-4F01-A183-6E24A59A208E}" name="Descrizione" dataDxfId="77"/>
    <tableColumn id="2" xr3:uid="{18907D6C-1C6B-406E-AD53-CC2274374986}" name="Standard" dataDxfId="76"/>
    <tableColumn id="3" xr3:uid="{F329AF57-59E2-4B27-AB50-82A65E40BE2B}" name="Grado" dataDxfId="7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717C08F-3AAB-4D14-857A-0CDDF5D54A69}" name="punto5" displayName="punto5" ref="B24:E31" totalsRowShown="0" headerRowDxfId="74" dataDxfId="72" headerRowBorderDxfId="73" tableBorderDxfId="71">
  <autoFilter ref="B24:E31" xr:uid="{9717C08F-3AAB-4D14-857A-0CDDF5D54A69}"/>
  <tableColumns count="4">
    <tableColumn id="7" xr3:uid="{539B2D1B-C3BF-4987-907B-9DF742442FE6}" name="Req." dataDxfId="70"/>
    <tableColumn id="2" xr3:uid="{432FFA33-477A-4FDA-B342-1370CF2564B8}" name="Descrizione" dataDxfId="69"/>
    <tableColumn id="3" xr3:uid="{4EBBC1EA-CB75-46E2-B469-BF5C5215B32D}" name="Standard" dataDxfId="68"/>
    <tableColumn id="4" xr3:uid="{8FF37223-5D6C-4886-9001-2CE44EDC83CD}" name="Grado" dataDxfId="6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508410-3EBE-4C0F-843B-37E28A4BD110}" name="Tabella5" displayName="Tabella5" ref="L4:L20" totalsRowShown="0" headerRowDxfId="66" dataDxfId="64" headerRowBorderDxfId="65" tableBorderDxfId="63">
  <autoFilter ref="L4:L20" xr:uid="{F3508410-3EBE-4C0F-843B-37E28A4BD110}"/>
  <sortState xmlns:xlrd2="http://schemas.microsoft.com/office/spreadsheetml/2017/richdata2" ref="L5:L20">
    <sortCondition ref="L4:L20"/>
  </sortState>
  <tableColumns count="1">
    <tableColumn id="1" xr3:uid="{5C479FCF-B8EE-450E-B970-9B4807481967}" name="Colonna1" dataDxfId="62"/>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445E23-E924-4B06-8833-5E3AA3897F4D}" name="punto6" displayName="punto6" ref="B50:E57" totalsRowShown="0" headerRowDxfId="61" dataDxfId="59" headerRowBorderDxfId="60" tableBorderDxfId="58">
  <autoFilter ref="B50:E57" xr:uid="{08445E23-E924-4B06-8833-5E3AA3897F4D}"/>
  <tableColumns count="4">
    <tableColumn id="1" xr3:uid="{5F2CDC96-1C06-46E3-8295-DA2F45A85A88}" name="Req." dataDxfId="57"/>
    <tableColumn id="2" xr3:uid="{9FB2232B-0D49-4BF5-8019-69A5DC7CFA94}" name="Descrizione" dataDxfId="56"/>
    <tableColumn id="3" xr3:uid="{17C3390B-4061-4557-AB54-5A8FE95C5A10}" name="Standard" dataDxfId="55"/>
    <tableColumn id="4" xr3:uid="{847D4757-EF69-4424-9906-67B853300527}" name="Grado" dataDxfId="5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B4486E3-6395-48CE-8DAF-3A8CFABFE1A7}" name="punto7" displayName="punto7" ref="B38:E45" totalsRowShown="0" headerRowDxfId="53" dataDxfId="51" headerRowBorderDxfId="52" tableBorderDxfId="50">
  <autoFilter ref="B38:E45" xr:uid="{0B4486E3-6395-48CE-8DAF-3A8CFABFE1A7}"/>
  <tableColumns count="4">
    <tableColumn id="1" xr3:uid="{9F3657F8-CE96-4378-BF68-F94FC7C06E2B}" name="Req." dataDxfId="49"/>
    <tableColumn id="2" xr3:uid="{3832C170-EC9E-4C08-B16F-23B051B134B0}" name="Descrizione" dataDxfId="48"/>
    <tableColumn id="3" xr3:uid="{E487546F-27DB-4F62-9B91-FE538E940DE0}" name="Standard" dataDxfId="47"/>
    <tableColumn id="4" xr3:uid="{FEA2B616-165B-4435-88BE-490CE447BED7}" name="Grado" dataDxfId="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72FE97-92C2-4290-AE5D-86EA6230ADCC}" name="punto81" displayName="punto81" ref="D122:E129" totalsRowShown="0" headerRowDxfId="45" dataDxfId="43" headerRowBorderDxfId="44" tableBorderDxfId="42">
  <autoFilter ref="D122:E129" xr:uid="{CA72FE97-92C2-4290-AE5D-86EA6230ADCC}"/>
  <tableColumns count="2">
    <tableColumn id="3" xr3:uid="{9A744641-0B80-4079-92D4-088B3F053242}" name="Standard" dataDxfId="41"/>
    <tableColumn id="4" xr3:uid="{BA2A1552-A079-4D9C-B727-B6BAF2B3D8FA}" name="Grado" dataDxfId="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462DA7-CA9A-48D5-8159-376CB761EF11}" name="punto8_2" displayName="punto8_2" ref="E87:H94" totalsRowShown="0" headerRowDxfId="39" dataDxfId="37" headerRowBorderDxfId="38" tableBorderDxfId="36">
  <autoFilter ref="E87:H94" xr:uid="{67462DA7-CA9A-48D5-8159-376CB761EF11}"/>
  <tableColumns count="4">
    <tableColumn id="1" xr3:uid="{A2633863-3EDA-44AA-B3ED-4F7D48A46E31}" name="Req." dataDxfId="35"/>
    <tableColumn id="2" xr3:uid="{BBCF7434-1257-476B-938A-34591CDC3714}" name="Descrizione" dataDxfId="34"/>
    <tableColumn id="3" xr3:uid="{4B20AB5B-28D9-4F41-A55A-4514184FDE6F}" name="Standard" dataDxfId="33"/>
    <tableColumn id="4" xr3:uid="{0407F308-6B4A-4C28-944F-4E5584E719C5}" name="Grado" dataDxfId="3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51C201D-49E8-4061-853E-851B635CDB2F}" name="punto8_3" displayName="punto8_3" ref="E87:H94" totalsRowShown="0" headerRowDxfId="31" dataDxfId="29" headerRowBorderDxfId="30" tableBorderDxfId="28">
  <autoFilter ref="E87:H94" xr:uid="{D51C201D-49E8-4061-853E-851B635CDB2F}"/>
  <tableColumns count="4">
    <tableColumn id="1" xr3:uid="{46993B10-E560-4C90-A1D7-EFFE79B2A660}" name="Req." dataDxfId="27"/>
    <tableColumn id="2" xr3:uid="{1807E309-0686-4BDA-BECB-074966C86250}" name="Descrizione" dataDxfId="26"/>
    <tableColumn id="3" xr3:uid="{9689C4DA-BF31-455A-9940-14E75A319AA9}" name="Standard" dataDxfId="25"/>
    <tableColumn id="4" xr3:uid="{387306F7-A9B7-4AE2-BF38-84A0BD823196}" name="Grado" dataDxfId="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466939F-9C78-41C1-AE70-D0308C2E3216}" name="punto8_4" displayName="punto8_4" ref="E87:H94" totalsRowShown="0" headerRowDxfId="23" dataDxfId="21" headerRowBorderDxfId="22" tableBorderDxfId="20">
  <autoFilter ref="E87:H94" xr:uid="{1466939F-9C78-41C1-AE70-D0308C2E3216}"/>
  <tableColumns count="4">
    <tableColumn id="1" xr3:uid="{7C2ADCBE-734D-4CA0-A9EB-AFB5ADE3111D}" name="Req." dataDxfId="19"/>
    <tableColumn id="2" xr3:uid="{0B6A113A-4105-4326-B654-54CCEF0E8667}" name="Descrizione" dataDxfId="18"/>
    <tableColumn id="3" xr3:uid="{D7884779-60E0-4410-86A3-E86B118F963C}" name="Standard" dataDxfId="17"/>
    <tableColumn id="4" xr3:uid="{B373F836-9965-4871-84FE-9A77882F34D9}" name="Grado" dataDxfId="1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01FCD6-730E-4B09-A290-A5514D14069A}" name="punto8_5" displayName="punto8_5" ref="E87:H94" totalsRowShown="0" headerRowDxfId="15" dataDxfId="13" headerRowBorderDxfId="14" tableBorderDxfId="12">
  <autoFilter ref="E87:H94" xr:uid="{F401FCD6-730E-4B09-A290-A5514D14069A}"/>
  <tableColumns count="4">
    <tableColumn id="1" xr3:uid="{9750D109-46E3-4331-877E-BFD6E26BC2BD}" name="Req." dataDxfId="11"/>
    <tableColumn id="2" xr3:uid="{161000E2-A6DC-4E62-B285-0352E706A381}" name="Descrizione" dataDxfId="10"/>
    <tableColumn id="3" xr3:uid="{B07FE503-B9BA-4A9B-882C-F1CE7DFE7EAB}" name="Standard" dataDxfId="9"/>
    <tableColumn id="4" xr3:uid="{8E59DBFC-1A0A-42C9-9204-198BDD08A78E}" name="Grado" dataDxfId="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A67FDF0-C961-4EBA-B17B-0A7E61EA85DD}" name="punto9" displayName="punto9" ref="B36:E43" totalsRowShown="0" headerRowDxfId="90" dataDxfId="88" headerRowBorderDxfId="89" tableBorderDxfId="87">
  <autoFilter ref="B36:E43" xr:uid="{4A67FDF0-C961-4EBA-B17B-0A7E61EA85DD}"/>
  <tableColumns count="4">
    <tableColumn id="1" xr3:uid="{8CB6FDFE-E57D-4DBC-92AE-371E6010E67A}" name="Req." dataDxfId="86"/>
    <tableColumn id="2" xr3:uid="{631B510C-C785-4048-BF03-D0B5BB81E77C}" name="Descrizione" dataDxfId="85"/>
    <tableColumn id="3" xr3:uid="{160E24B8-5E6F-4C4C-8A6C-0DE5459FFF0B}" name="Standard" dataDxfId="84"/>
    <tableColumn id="4" xr3:uid="{BC85172A-6E2C-46D8-B50E-73AD969F26B0}" name="Grado" dataDxfId="8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22BDED-4733-4E10-A1BC-41B2EAA63DC6}" name="punto10" displayName="punto10" ref="B8:E15" totalsRowShown="0" headerRowDxfId="7" dataDxfId="5" headerRowBorderDxfId="6" tableBorderDxfId="4">
  <autoFilter ref="B8:E15" xr:uid="{6022BDED-4733-4E10-A1BC-41B2EAA63DC6}"/>
  <tableColumns count="4">
    <tableColumn id="1" xr3:uid="{2F598423-1229-401C-9F69-3FBC095BF36D}" name="Req." dataDxfId="3"/>
    <tableColumn id="2" xr3:uid="{F0A17247-15BD-4FEA-894A-B6A8FC16B5D7}" name="Descrizione" dataDxfId="2"/>
    <tableColumn id="3" xr3:uid="{0E487763-AE0C-49F0-B99F-67180867088D}" name="Standard" dataDxfId="1"/>
    <tableColumn id="4" xr3:uid="{43C78CF7-327D-4730-9B08-BC1B92CA9224}" name="Grado" dataDxfId="0"/>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21" dT="2025-09-08T08:27:37.21" personId="{19560274-0B69-493F-A206-9C114FDAA423}" id="{CDFF9C1E-F4EC-407E-9F71-4F1605495BF4}">
    <text>La larghezza della riga non consente di leggere completamente il testo. Ho sintetizzato il testo per migliorarne la lettura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ACB67-14D6-4179-93B5-4FED214994A3}">
  <sheetPr codeName="Foglio2"/>
  <dimension ref="A1:M89"/>
  <sheetViews>
    <sheetView zoomScale="115" zoomScaleNormal="115" workbookViewId="0">
      <selection activeCell="A17" sqref="A17:XFD19"/>
    </sheetView>
  </sheetViews>
  <sheetFormatPr defaultRowHeight="14.4" x14ac:dyDescent="0.3"/>
  <cols>
    <col min="1" max="1" width="13.59765625" customWidth="1"/>
    <col min="3" max="3" width="75" style="130" customWidth="1"/>
    <col min="4" max="4" width="10.59765625" customWidth="1"/>
    <col min="12" max="12" width="0" hidden="1" customWidth="1"/>
  </cols>
  <sheetData>
    <row r="1" spans="1:4" ht="16.149999999999999" x14ac:dyDescent="0.35">
      <c r="A1" s="53" t="s">
        <v>2</v>
      </c>
      <c r="B1" s="53" t="s">
        <v>3</v>
      </c>
      <c r="C1" s="126" t="s">
        <v>4</v>
      </c>
      <c r="D1" s="53" t="s">
        <v>5</v>
      </c>
    </row>
    <row r="2" spans="1:4" ht="38.6" x14ac:dyDescent="0.3">
      <c r="A2" s="20">
        <v>27701</v>
      </c>
      <c r="B2" s="15" t="s">
        <v>6</v>
      </c>
      <c r="C2" s="54" t="s">
        <v>125</v>
      </c>
      <c r="D2" s="58"/>
    </row>
    <row r="3" spans="1:4" ht="38.6" x14ac:dyDescent="0.3">
      <c r="A3" s="20">
        <v>27701</v>
      </c>
      <c r="B3" s="15" t="s">
        <v>6</v>
      </c>
      <c r="C3" s="54" t="s">
        <v>433</v>
      </c>
      <c r="D3" s="58"/>
    </row>
    <row r="4" spans="1:4" ht="38.6" x14ac:dyDescent="0.3">
      <c r="A4" s="20">
        <v>27701</v>
      </c>
      <c r="B4" s="15" t="s">
        <v>6</v>
      </c>
      <c r="C4" s="54" t="s">
        <v>434</v>
      </c>
      <c r="D4" s="58"/>
    </row>
    <row r="5" spans="1:4" ht="25.35" x14ac:dyDescent="0.3">
      <c r="A5" s="20"/>
      <c r="B5" s="15" t="s">
        <v>8</v>
      </c>
      <c r="C5" s="55" t="s">
        <v>126</v>
      </c>
      <c r="D5" s="58"/>
    </row>
    <row r="6" spans="1:4" ht="25.35" x14ac:dyDescent="0.3">
      <c r="A6" s="20">
        <v>27701</v>
      </c>
      <c r="B6" s="15" t="s">
        <v>8</v>
      </c>
      <c r="C6" s="55" t="s">
        <v>435</v>
      </c>
      <c r="D6" s="58"/>
    </row>
    <row r="7" spans="1:4" x14ac:dyDescent="0.3">
      <c r="A7" s="132" t="s">
        <v>39</v>
      </c>
      <c r="B7" s="133"/>
      <c r="C7" s="135" t="s">
        <v>388</v>
      </c>
      <c r="D7" s="66"/>
    </row>
    <row r="8" spans="1:4" x14ac:dyDescent="0.3">
      <c r="A8" s="138"/>
      <c r="B8" s="139"/>
      <c r="C8" s="136"/>
      <c r="D8" s="66"/>
    </row>
    <row r="9" spans="1:4" x14ac:dyDescent="0.3">
      <c r="A9" s="140"/>
      <c r="B9" s="141"/>
      <c r="C9" s="137"/>
    </row>
    <row r="10" spans="1:4" ht="25.35" x14ac:dyDescent="0.3">
      <c r="A10" s="20"/>
      <c r="B10" s="15" t="s">
        <v>13</v>
      </c>
      <c r="C10" s="46" t="s">
        <v>127</v>
      </c>
      <c r="D10" s="58"/>
    </row>
    <row r="11" spans="1:4" ht="38.049999999999997" x14ac:dyDescent="0.3">
      <c r="A11" s="20"/>
      <c r="B11" s="15" t="s">
        <v>13</v>
      </c>
      <c r="C11" s="46" t="s">
        <v>14</v>
      </c>
      <c r="D11" s="58"/>
    </row>
    <row r="12" spans="1:4" ht="25.35" x14ac:dyDescent="0.3">
      <c r="A12" s="20"/>
      <c r="B12" s="15" t="s">
        <v>13</v>
      </c>
      <c r="C12" s="46" t="s">
        <v>15</v>
      </c>
      <c r="D12" s="58"/>
    </row>
    <row r="13" spans="1:4" x14ac:dyDescent="0.3">
      <c r="A13" s="132" t="s">
        <v>314</v>
      </c>
      <c r="B13" s="133"/>
      <c r="C13" s="110"/>
      <c r="D13" s="66"/>
    </row>
    <row r="14" spans="1:4" ht="25.35" x14ac:dyDescent="0.3">
      <c r="A14" s="20"/>
      <c r="B14" s="15" t="s">
        <v>17</v>
      </c>
      <c r="C14" s="46" t="s">
        <v>128</v>
      </c>
      <c r="D14" s="58"/>
    </row>
    <row r="15" spans="1:4" ht="38.049999999999997" x14ac:dyDescent="0.3">
      <c r="A15" s="20"/>
      <c r="B15" s="15" t="s">
        <v>17</v>
      </c>
      <c r="C15" s="46" t="s">
        <v>129</v>
      </c>
      <c r="D15" s="58"/>
    </row>
    <row r="16" spans="1:4" ht="24.2" x14ac:dyDescent="0.3">
      <c r="A16" s="20"/>
      <c r="B16" s="15" t="s">
        <v>17</v>
      </c>
      <c r="C16" s="46" t="s">
        <v>130</v>
      </c>
      <c r="D16" s="58"/>
    </row>
    <row r="17" spans="1:5" ht="43.2" x14ac:dyDescent="0.3">
      <c r="A17" s="132" t="s">
        <v>39</v>
      </c>
      <c r="B17" s="133"/>
      <c r="C17" s="114" t="s">
        <v>425</v>
      </c>
      <c r="D17" s="66"/>
    </row>
    <row r="18" spans="1:5" ht="126.75" x14ac:dyDescent="0.3">
      <c r="A18" s="15" t="s">
        <v>19</v>
      </c>
      <c r="B18" s="15" t="s">
        <v>20</v>
      </c>
      <c r="C18" s="46" t="s">
        <v>131</v>
      </c>
      <c r="D18" s="59"/>
    </row>
    <row r="19" spans="1:5" ht="38.049999999999997" x14ac:dyDescent="0.3">
      <c r="A19" s="16" t="s">
        <v>305</v>
      </c>
      <c r="B19" s="15" t="s">
        <v>133</v>
      </c>
      <c r="C19" s="46" t="s">
        <v>132</v>
      </c>
      <c r="D19" s="59"/>
    </row>
    <row r="20" spans="1:5" ht="25.35" x14ac:dyDescent="0.3">
      <c r="A20" s="15" t="s">
        <v>19</v>
      </c>
      <c r="B20" s="15" t="s">
        <v>22</v>
      </c>
      <c r="C20" s="46" t="s">
        <v>23</v>
      </c>
      <c r="D20" s="58"/>
    </row>
    <row r="21" spans="1:5" ht="41.5" customHeight="1" x14ac:dyDescent="0.3">
      <c r="A21" s="15" t="s">
        <v>19</v>
      </c>
      <c r="B21" s="15" t="s">
        <v>24</v>
      </c>
      <c r="C21" s="46" t="s">
        <v>25</v>
      </c>
      <c r="D21" s="58"/>
    </row>
    <row r="22" spans="1:5" ht="38.049999999999997" x14ac:dyDescent="0.3">
      <c r="A22" s="15" t="s">
        <v>19</v>
      </c>
      <c r="B22" s="15" t="s">
        <v>26</v>
      </c>
      <c r="C22" s="46" t="s">
        <v>27</v>
      </c>
      <c r="D22" s="58"/>
    </row>
    <row r="23" spans="1:5" ht="230.4" x14ac:dyDescent="0.3">
      <c r="A23" s="132" t="s">
        <v>39</v>
      </c>
      <c r="B23" s="133"/>
      <c r="C23" s="113" t="s">
        <v>343</v>
      </c>
      <c r="D23" s="66"/>
    </row>
    <row r="24" spans="1:5" ht="165.9" x14ac:dyDescent="0.3">
      <c r="A24" s="15" t="s">
        <v>182</v>
      </c>
      <c r="B24" s="15" t="s">
        <v>20</v>
      </c>
      <c r="C24" s="46" t="s">
        <v>406</v>
      </c>
      <c r="D24" s="58"/>
    </row>
    <row r="25" spans="1:5" ht="57.6" x14ac:dyDescent="0.3">
      <c r="A25" s="132" t="s">
        <v>39</v>
      </c>
      <c r="B25" s="133"/>
      <c r="C25" s="113" t="s">
        <v>153</v>
      </c>
      <c r="D25" s="66"/>
    </row>
    <row r="26" spans="1:5" ht="15" thickBot="1" x14ac:dyDescent="0.35">
      <c r="A26" s="40"/>
      <c r="B26" s="41"/>
      <c r="C26" s="42"/>
    </row>
    <row r="27" spans="1:5" ht="15" thickBot="1" x14ac:dyDescent="0.35">
      <c r="A27" s="4"/>
      <c r="B27" s="9" t="s">
        <v>28</v>
      </c>
      <c r="C27" s="127" t="s">
        <v>29</v>
      </c>
      <c r="D27" s="9" t="s">
        <v>2</v>
      </c>
      <c r="E27" s="10" t="s">
        <v>30</v>
      </c>
    </row>
    <row r="28" spans="1:5" x14ac:dyDescent="0.3">
      <c r="B28" s="60"/>
      <c r="C28" s="128"/>
      <c r="D28" s="79"/>
      <c r="E28" s="62"/>
    </row>
    <row r="29" spans="1:5" x14ac:dyDescent="0.3">
      <c r="B29" s="60"/>
      <c r="C29" s="108"/>
      <c r="D29" s="58"/>
      <c r="E29" s="63"/>
    </row>
    <row r="30" spans="1:5" x14ac:dyDescent="0.3">
      <c r="B30" s="60"/>
      <c r="C30" s="128"/>
      <c r="D30" s="58"/>
      <c r="E30" s="63"/>
    </row>
    <row r="31" spans="1:5" x14ac:dyDescent="0.3">
      <c r="B31" s="60"/>
      <c r="C31" s="108"/>
      <c r="D31" s="58"/>
      <c r="E31" s="63"/>
    </row>
    <row r="32" spans="1:5" x14ac:dyDescent="0.3">
      <c r="B32" s="60"/>
      <c r="C32" s="108"/>
      <c r="D32" s="58"/>
      <c r="E32" s="63"/>
    </row>
    <row r="33" spans="2:5" x14ac:dyDescent="0.3">
      <c r="B33" s="60"/>
      <c r="C33" s="108"/>
      <c r="D33" s="58"/>
      <c r="E33" s="63"/>
    </row>
    <row r="34" spans="2:5" x14ac:dyDescent="0.3">
      <c r="B34" s="60"/>
      <c r="C34" s="108"/>
      <c r="D34" s="58"/>
      <c r="E34" s="63"/>
    </row>
    <row r="35" spans="2:5" x14ac:dyDescent="0.3">
      <c r="B35" s="60"/>
      <c r="C35" s="108"/>
      <c r="D35" s="58"/>
      <c r="E35" s="63"/>
    </row>
    <row r="36" spans="2:5" x14ac:dyDescent="0.3">
      <c r="B36" s="60"/>
      <c r="C36" s="108"/>
      <c r="D36" s="58"/>
      <c r="E36" s="63"/>
    </row>
    <row r="37" spans="2:5" x14ac:dyDescent="0.3">
      <c r="B37" s="60"/>
      <c r="C37" s="129"/>
      <c r="D37" s="64"/>
      <c r="E37" s="65"/>
    </row>
    <row r="76" spans="12:13" ht="15" thickBot="1" x14ac:dyDescent="0.35"/>
    <row r="77" spans="12:13" x14ac:dyDescent="0.3">
      <c r="L77" s="5" t="s">
        <v>6</v>
      </c>
      <c r="M77" t="s">
        <v>1</v>
      </c>
    </row>
    <row r="78" spans="12:13" x14ac:dyDescent="0.3">
      <c r="L78" s="2" t="s">
        <v>7</v>
      </c>
      <c r="M78" t="s">
        <v>347</v>
      </c>
    </row>
    <row r="79" spans="12:13" x14ac:dyDescent="0.3">
      <c r="L79" s="2" t="s">
        <v>8</v>
      </c>
      <c r="M79" t="s">
        <v>31</v>
      </c>
    </row>
    <row r="80" spans="12:13" x14ac:dyDescent="0.3">
      <c r="L80" s="3" t="s">
        <v>9</v>
      </c>
    </row>
    <row r="81" spans="12:12" x14ac:dyDescent="0.3">
      <c r="L81" s="1" t="s">
        <v>18</v>
      </c>
    </row>
    <row r="82" spans="12:12" ht="15" thickBot="1" x14ac:dyDescent="0.35">
      <c r="L82" s="6" t="s">
        <v>12</v>
      </c>
    </row>
    <row r="83" spans="12:12" ht="15" thickBot="1" x14ac:dyDescent="0.35">
      <c r="L83" s="5" t="s">
        <v>13</v>
      </c>
    </row>
    <row r="84" spans="12:12" ht="15" thickBot="1" x14ac:dyDescent="0.35">
      <c r="L84" s="11" t="s">
        <v>17</v>
      </c>
    </row>
    <row r="85" spans="12:12" x14ac:dyDescent="0.3">
      <c r="L85" s="11" t="s">
        <v>20</v>
      </c>
    </row>
    <row r="86" spans="12:12" x14ac:dyDescent="0.3">
      <c r="L86" s="12" t="s">
        <v>21</v>
      </c>
    </row>
    <row r="87" spans="12:12" x14ac:dyDescent="0.3">
      <c r="L87" s="12" t="s">
        <v>22</v>
      </c>
    </row>
    <row r="88" spans="12:12" x14ac:dyDescent="0.3">
      <c r="L88" s="12" t="s">
        <v>24</v>
      </c>
    </row>
    <row r="89" spans="12:12" ht="15" thickBot="1" x14ac:dyDescent="0.35">
      <c r="L89" s="13" t="s">
        <v>26</v>
      </c>
    </row>
  </sheetData>
  <sheetProtection formatCells="0" formatColumns="0" formatRows="0"/>
  <mergeCells count="6">
    <mergeCell ref="A25:B25"/>
    <mergeCell ref="C7:C9"/>
    <mergeCell ref="A13:B13"/>
    <mergeCell ref="A17:B17"/>
    <mergeCell ref="A7:B9"/>
    <mergeCell ref="A23:B23"/>
  </mergeCells>
  <phoneticPr fontId="6" type="noConversion"/>
  <dataValidations count="2">
    <dataValidation type="list" allowBlank="1" showInputMessage="1" showErrorMessage="1" sqref="E28:E37" xr:uid="{6523D6E5-3443-4A92-95B8-1824D1B7E1A7}">
      <formula1>$M$77:$M$79</formula1>
    </dataValidation>
    <dataValidation type="list" allowBlank="1" showInputMessage="1" showErrorMessage="1" sqref="D20:D25 D2:D8 D10:D17" xr:uid="{F77BDC47-7AF2-4BDD-94B6-26B810D0D4FE}">
      <formula1>#REF!</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3E14A-FBF0-489D-BE07-D91E2E4965CD}">
  <sheetPr codeName="Foglio3"/>
  <dimension ref="A1:L37"/>
  <sheetViews>
    <sheetView topLeftCell="A12" zoomScale="85" zoomScaleNormal="85" workbookViewId="0">
      <selection activeCell="H18" sqref="H18"/>
    </sheetView>
  </sheetViews>
  <sheetFormatPr defaultRowHeight="14.4" x14ac:dyDescent="0.3"/>
  <cols>
    <col min="2" max="2" width="8.8984375" customWidth="1"/>
    <col min="3" max="3" width="112.3984375" customWidth="1"/>
    <col min="4" max="4" width="10" customWidth="1"/>
    <col min="12" max="12" width="10.59765625" hidden="1" customWidth="1"/>
  </cols>
  <sheetData>
    <row r="1" spans="1:12" ht="16.149999999999999" x14ac:dyDescent="0.35">
      <c r="A1" s="52" t="s">
        <v>2</v>
      </c>
      <c r="B1" s="52" t="s">
        <v>3</v>
      </c>
      <c r="C1" s="52" t="s">
        <v>4</v>
      </c>
      <c r="D1" s="34" t="s">
        <v>5</v>
      </c>
    </row>
    <row r="2" spans="1:12" ht="38.049999999999997" x14ac:dyDescent="0.3">
      <c r="A2" s="15"/>
      <c r="B2" s="14" t="s">
        <v>10</v>
      </c>
      <c r="C2" s="46" t="s">
        <v>407</v>
      </c>
      <c r="D2" s="68"/>
    </row>
    <row r="3" spans="1:12" ht="25.35" x14ac:dyDescent="0.3">
      <c r="A3" s="15">
        <v>9001</v>
      </c>
      <c r="B3" s="14" t="s">
        <v>33</v>
      </c>
      <c r="C3" s="46" t="s">
        <v>134</v>
      </c>
      <c r="D3" s="68"/>
    </row>
    <row r="4" spans="1:12" ht="101.4" x14ac:dyDescent="0.3">
      <c r="A4" s="16">
        <v>37001</v>
      </c>
      <c r="B4" s="14" t="s">
        <v>32</v>
      </c>
      <c r="C4" s="46" t="s">
        <v>136</v>
      </c>
      <c r="D4" s="68"/>
      <c r="L4" s="24" t="s">
        <v>0</v>
      </c>
    </row>
    <row r="5" spans="1:12" ht="152.1" x14ac:dyDescent="0.3">
      <c r="A5" s="20">
        <v>37301</v>
      </c>
      <c r="B5" s="14" t="s">
        <v>32</v>
      </c>
      <c r="C5" s="46" t="s">
        <v>137</v>
      </c>
      <c r="D5" s="68"/>
      <c r="L5" s="23"/>
    </row>
    <row r="6" spans="1:12" ht="190.1" x14ac:dyDescent="0.3">
      <c r="A6" s="20">
        <v>37001</v>
      </c>
      <c r="B6" s="14" t="s">
        <v>33</v>
      </c>
      <c r="C6" s="46" t="s">
        <v>135</v>
      </c>
      <c r="D6" s="68"/>
      <c r="L6" s="23" t="s">
        <v>35</v>
      </c>
    </row>
    <row r="7" spans="1:12" ht="25.35" x14ac:dyDescent="0.3">
      <c r="A7" s="20">
        <v>37301</v>
      </c>
      <c r="B7" s="14" t="s">
        <v>33</v>
      </c>
      <c r="C7" s="46" t="s">
        <v>138</v>
      </c>
      <c r="D7" s="68"/>
      <c r="L7" s="23"/>
    </row>
    <row r="8" spans="1:12" ht="25.35" x14ac:dyDescent="0.3">
      <c r="A8" s="20">
        <v>37301</v>
      </c>
      <c r="B8" s="14" t="s">
        <v>34</v>
      </c>
      <c r="C8" s="46" t="s">
        <v>139</v>
      </c>
      <c r="D8" s="68"/>
      <c r="L8" s="23"/>
    </row>
    <row r="9" spans="1:12" x14ac:dyDescent="0.3">
      <c r="A9" s="20">
        <v>27701</v>
      </c>
      <c r="B9" s="14">
        <v>5.0999999999999996</v>
      </c>
      <c r="C9" s="46" t="s">
        <v>41</v>
      </c>
      <c r="D9" s="68"/>
      <c r="L9" s="23"/>
    </row>
    <row r="10" spans="1:12" x14ac:dyDescent="0.3">
      <c r="A10" s="20">
        <v>27701</v>
      </c>
      <c r="B10" s="14" t="s">
        <v>40</v>
      </c>
      <c r="C10" s="46" t="s">
        <v>38</v>
      </c>
      <c r="D10" s="68"/>
      <c r="L10" s="23"/>
    </row>
    <row r="11" spans="1:12" x14ac:dyDescent="0.3">
      <c r="A11" s="132" t="s">
        <v>39</v>
      </c>
      <c r="B11" s="133"/>
      <c r="C11" s="114"/>
      <c r="D11" s="77"/>
      <c r="L11" s="23"/>
    </row>
    <row r="12" spans="1:12" ht="129.05000000000001" x14ac:dyDescent="0.35">
      <c r="A12" s="35"/>
      <c r="B12" s="15" t="s">
        <v>11</v>
      </c>
      <c r="C12" s="43" t="s">
        <v>409</v>
      </c>
      <c r="D12" s="68"/>
      <c r="L12" s="23"/>
    </row>
    <row r="13" spans="1:12" ht="96.8" x14ac:dyDescent="0.35">
      <c r="A13" s="35"/>
      <c r="B13" s="15" t="s">
        <v>16</v>
      </c>
      <c r="C13" s="43" t="s">
        <v>308</v>
      </c>
      <c r="D13" s="68"/>
      <c r="L13" s="23"/>
    </row>
    <row r="14" spans="1:12" ht="15" thickBot="1" x14ac:dyDescent="0.35">
      <c r="A14" s="132" t="s">
        <v>39</v>
      </c>
      <c r="B14" s="133"/>
      <c r="C14" s="114"/>
      <c r="D14" s="40"/>
      <c r="L14" s="23"/>
    </row>
    <row r="15" spans="1:12" ht="25.35" x14ac:dyDescent="0.3">
      <c r="A15" s="20"/>
      <c r="B15" s="14" t="s">
        <v>35</v>
      </c>
      <c r="C15" s="46" t="s">
        <v>408</v>
      </c>
      <c r="D15" s="68"/>
      <c r="L15" s="25"/>
    </row>
    <row r="16" spans="1:12" ht="399.05" customHeight="1" x14ac:dyDescent="0.3">
      <c r="A16" s="16" t="s">
        <v>304</v>
      </c>
      <c r="B16" s="14" t="s">
        <v>40</v>
      </c>
      <c r="C16" s="46" t="s">
        <v>140</v>
      </c>
      <c r="D16" s="68"/>
      <c r="L16" s="23"/>
    </row>
    <row r="17" spans="1:12" ht="392.85" x14ac:dyDescent="0.3">
      <c r="A17" s="16">
        <v>37301</v>
      </c>
      <c r="B17" s="14" t="s">
        <v>36</v>
      </c>
      <c r="C17" s="46" t="s">
        <v>141</v>
      </c>
      <c r="D17" s="68"/>
      <c r="L17" s="23"/>
    </row>
    <row r="18" spans="1:12" ht="278.8" x14ac:dyDescent="0.3">
      <c r="A18" s="16">
        <v>37001</v>
      </c>
      <c r="B18" s="14" t="s">
        <v>36</v>
      </c>
      <c r="C18" s="46" t="s">
        <v>143</v>
      </c>
      <c r="D18" s="68"/>
      <c r="L18" s="23"/>
    </row>
    <row r="19" spans="1:12" ht="25.35" x14ac:dyDescent="0.3">
      <c r="A19" s="16">
        <v>37301</v>
      </c>
      <c r="B19" s="14" t="s">
        <v>37</v>
      </c>
      <c r="C19" s="46" t="s">
        <v>142</v>
      </c>
      <c r="D19" s="68"/>
      <c r="L19" s="23"/>
    </row>
    <row r="20" spans="1:12" ht="43.2" x14ac:dyDescent="0.3">
      <c r="A20" s="132" t="s">
        <v>39</v>
      </c>
      <c r="B20" s="133"/>
      <c r="C20" s="113" t="s">
        <v>426</v>
      </c>
      <c r="L20" s="23"/>
    </row>
    <row r="21" spans="1:12" ht="215.45" x14ac:dyDescent="0.3">
      <c r="A21" s="14">
        <v>45001</v>
      </c>
      <c r="B21" s="14" t="s">
        <v>348</v>
      </c>
      <c r="C21" s="85" t="s">
        <v>410</v>
      </c>
      <c r="D21" s="68"/>
      <c r="J21" s="75"/>
    </row>
    <row r="22" spans="1:12" ht="99.65" customHeight="1" x14ac:dyDescent="0.3">
      <c r="A22" s="131" t="s">
        <v>39</v>
      </c>
      <c r="B22" s="131"/>
      <c r="C22" s="115" t="s">
        <v>316</v>
      </c>
    </row>
    <row r="23" spans="1:12" ht="31" customHeight="1" x14ac:dyDescent="0.3">
      <c r="A23" s="72"/>
      <c r="B23" s="72"/>
      <c r="C23" s="73"/>
      <c r="D23" s="74"/>
      <c r="E23" s="74"/>
    </row>
    <row r="24" spans="1:12" ht="15" thickBot="1" x14ac:dyDescent="0.35">
      <c r="B24" s="7" t="s">
        <v>3</v>
      </c>
      <c r="C24" s="7" t="s">
        <v>29</v>
      </c>
      <c r="D24" s="7" t="s">
        <v>2</v>
      </c>
      <c r="E24" s="8" t="s">
        <v>30</v>
      </c>
    </row>
    <row r="25" spans="1:12" x14ac:dyDescent="0.3">
      <c r="B25" s="67"/>
      <c r="C25" s="67"/>
      <c r="D25" s="61"/>
      <c r="E25" s="61"/>
    </row>
    <row r="26" spans="1:12" x14ac:dyDescent="0.3">
      <c r="B26" s="68"/>
      <c r="C26" s="68"/>
      <c r="D26" s="58"/>
      <c r="E26" s="58"/>
    </row>
    <row r="27" spans="1:12" x14ac:dyDescent="0.3">
      <c r="B27" s="68"/>
      <c r="C27" s="68"/>
      <c r="D27" s="58"/>
      <c r="E27" s="58"/>
    </row>
    <row r="28" spans="1:12" x14ac:dyDescent="0.3">
      <c r="B28" s="68"/>
      <c r="C28" s="68"/>
      <c r="D28" s="58"/>
      <c r="E28" s="58"/>
    </row>
    <row r="29" spans="1:12" x14ac:dyDescent="0.3">
      <c r="B29" s="68"/>
      <c r="C29" s="68"/>
      <c r="D29" s="58"/>
      <c r="E29" s="58"/>
    </row>
    <row r="30" spans="1:12" x14ac:dyDescent="0.3">
      <c r="B30" s="68"/>
      <c r="C30" s="68"/>
      <c r="D30" s="58"/>
      <c r="E30" s="58"/>
    </row>
    <row r="31" spans="1:12" x14ac:dyDescent="0.3">
      <c r="B31" s="69"/>
      <c r="C31" s="69"/>
      <c r="D31" s="64"/>
      <c r="E31" s="64"/>
    </row>
    <row r="37" ht="14.15" customHeight="1" x14ac:dyDescent="0.3"/>
  </sheetData>
  <sheetProtection formatCells="0" formatColumns="0" formatRows="0"/>
  <mergeCells count="4">
    <mergeCell ref="A14:B14"/>
    <mergeCell ref="A20:B20"/>
    <mergeCell ref="A11:B11"/>
    <mergeCell ref="A22:B22"/>
  </mergeCells>
  <phoneticPr fontId="6" type="noConversion"/>
  <dataValidations count="2">
    <dataValidation type="list" allowBlank="1" showInputMessage="1" showErrorMessage="1" sqref="E25:E31" xr:uid="{9BFC5AE6-8615-46B4-88C6-104BE52B1DD0}">
      <formula1>"NCMin, NCMagg, Oss"</formula1>
    </dataValidation>
    <dataValidation type="list" allowBlank="1" showInputMessage="1" showErrorMessage="1" sqref="D12:D13 D21 D15:D19 D2:D10" xr:uid="{E87940C8-387F-4BAB-BC5D-E99B0656FD2C}">
      <formula1>#REF!</formula1>
    </dataValidation>
  </dataValidations>
  <pageMargins left="0.7" right="0.7" top="0.75" bottom="0.75" header="0.3" footer="0.3"/>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3921C-1BDA-4A7B-B157-729826DB45DC}">
  <sheetPr codeName="Foglio4"/>
  <dimension ref="A1:K57"/>
  <sheetViews>
    <sheetView topLeftCell="A24" zoomScale="85" zoomScaleNormal="85" workbookViewId="0">
      <selection activeCell="C24" sqref="C24"/>
    </sheetView>
  </sheetViews>
  <sheetFormatPr defaultRowHeight="14.4" x14ac:dyDescent="0.3"/>
  <cols>
    <col min="3" max="3" width="90.59765625" customWidth="1"/>
    <col min="10" max="10" width="8.8984375" customWidth="1"/>
    <col min="11" max="11" width="8.8984375" hidden="1" customWidth="1"/>
    <col min="12" max="12" width="8.8984375" customWidth="1"/>
  </cols>
  <sheetData>
    <row r="1" spans="1:11" ht="16.7" thickBot="1" x14ac:dyDescent="0.4">
      <c r="A1" s="45" t="s">
        <v>2</v>
      </c>
      <c r="B1" s="45" t="s">
        <v>3</v>
      </c>
      <c r="C1" s="45" t="s">
        <v>4</v>
      </c>
    </row>
    <row r="2" spans="1:11" ht="25.35" x14ac:dyDescent="0.3">
      <c r="A2" s="15"/>
      <c r="B2" s="14" t="s">
        <v>42</v>
      </c>
      <c r="C2" s="46" t="s">
        <v>411</v>
      </c>
      <c r="D2" s="68"/>
      <c r="K2" s="26" t="s">
        <v>43</v>
      </c>
    </row>
    <row r="3" spans="1:11" ht="25.95" thickBot="1" x14ac:dyDescent="0.35">
      <c r="A3" s="15"/>
      <c r="B3" s="14" t="s">
        <v>42</v>
      </c>
      <c r="C3" s="46" t="s">
        <v>44</v>
      </c>
      <c r="D3" s="68"/>
      <c r="K3" s="22" t="s">
        <v>45</v>
      </c>
    </row>
    <row r="4" spans="1:11" ht="25.95" thickBot="1" x14ac:dyDescent="0.35">
      <c r="A4" s="15"/>
      <c r="B4" s="14" t="s">
        <v>42</v>
      </c>
      <c r="C4" s="46" t="s">
        <v>46</v>
      </c>
      <c r="D4" s="68"/>
      <c r="K4" s="27" t="s">
        <v>47</v>
      </c>
    </row>
    <row r="5" spans="1:11" x14ac:dyDescent="0.3">
      <c r="A5" s="15">
        <v>9001</v>
      </c>
      <c r="B5" s="14" t="s">
        <v>42</v>
      </c>
      <c r="C5" s="46" t="s">
        <v>48</v>
      </c>
      <c r="D5" s="68"/>
      <c r="K5" s="27" t="s">
        <v>49</v>
      </c>
    </row>
    <row r="6" spans="1:11" x14ac:dyDescent="0.3">
      <c r="A6" s="15">
        <v>14001</v>
      </c>
      <c r="B6" s="14" t="s">
        <v>42</v>
      </c>
      <c r="C6" s="46" t="s">
        <v>50</v>
      </c>
      <c r="D6" s="68"/>
      <c r="K6" s="28" t="s">
        <v>47</v>
      </c>
    </row>
    <row r="7" spans="1:11" x14ac:dyDescent="0.3">
      <c r="A7" s="15">
        <v>14001</v>
      </c>
      <c r="B7" s="14" t="s">
        <v>42</v>
      </c>
      <c r="C7" s="46" t="s">
        <v>51</v>
      </c>
      <c r="D7" s="68"/>
      <c r="K7" s="28" t="s">
        <v>52</v>
      </c>
    </row>
    <row r="8" spans="1:11" ht="28.8" x14ac:dyDescent="0.3">
      <c r="A8" s="16" t="s">
        <v>313</v>
      </c>
      <c r="B8" s="14" t="s">
        <v>42</v>
      </c>
      <c r="C8" s="46" t="s">
        <v>144</v>
      </c>
      <c r="D8" s="68"/>
      <c r="K8" s="28" t="s">
        <v>53</v>
      </c>
    </row>
    <row r="9" spans="1:11" ht="86.4" x14ac:dyDescent="0.3">
      <c r="A9" s="132" t="s">
        <v>39</v>
      </c>
      <c r="B9" s="133"/>
      <c r="C9" s="113" t="s">
        <v>428</v>
      </c>
      <c r="D9" s="77"/>
      <c r="K9" s="28"/>
    </row>
    <row r="10" spans="1:11" ht="342.15" x14ac:dyDescent="0.3">
      <c r="A10" s="15">
        <v>14001</v>
      </c>
      <c r="B10" s="14" t="s">
        <v>43</v>
      </c>
      <c r="C10" s="46" t="s">
        <v>412</v>
      </c>
      <c r="D10" s="68"/>
    </row>
    <row r="11" spans="1:11" ht="59.5" customHeight="1" x14ac:dyDescent="0.3">
      <c r="A11" s="142" t="s">
        <v>39</v>
      </c>
      <c r="B11" s="133"/>
      <c r="C11" s="113" t="s">
        <v>317</v>
      </c>
    </row>
    <row r="12" spans="1:11" ht="215.45" x14ac:dyDescent="0.3">
      <c r="A12" s="15">
        <v>45001</v>
      </c>
      <c r="B12" s="14" t="s">
        <v>43</v>
      </c>
      <c r="C12" s="46" t="s">
        <v>413</v>
      </c>
      <c r="D12" s="68"/>
    </row>
    <row r="13" spans="1:11" ht="59.5" customHeight="1" x14ac:dyDescent="0.3">
      <c r="A13" s="132" t="s">
        <v>39</v>
      </c>
      <c r="B13" s="133"/>
      <c r="C13" s="113" t="s">
        <v>145</v>
      </c>
    </row>
    <row r="14" spans="1:11" ht="317.55" customHeight="1" x14ac:dyDescent="0.3">
      <c r="A14" s="15">
        <v>42001</v>
      </c>
      <c r="B14" s="14" t="s">
        <v>43</v>
      </c>
      <c r="C14" s="46" t="s">
        <v>414</v>
      </c>
      <c r="D14" s="68"/>
    </row>
    <row r="15" spans="1:11" ht="154.55000000000001" customHeight="1" x14ac:dyDescent="0.3">
      <c r="A15" s="132" t="s">
        <v>39</v>
      </c>
      <c r="B15" s="133"/>
      <c r="C15" s="113" t="s">
        <v>196</v>
      </c>
    </row>
    <row r="16" spans="1:11" ht="190.1" x14ac:dyDescent="0.3">
      <c r="A16" s="34">
        <v>42001</v>
      </c>
      <c r="B16" s="14" t="s">
        <v>55</v>
      </c>
      <c r="C16" s="46" t="s">
        <v>415</v>
      </c>
      <c r="D16" s="68"/>
    </row>
    <row r="17" spans="1:4" ht="183.6" customHeight="1" x14ac:dyDescent="0.3">
      <c r="A17" s="132" t="s">
        <v>39</v>
      </c>
      <c r="B17" s="133"/>
      <c r="C17" s="113" t="s">
        <v>197</v>
      </c>
    </row>
    <row r="18" spans="1:4" ht="168.95" customHeight="1" x14ac:dyDescent="0.3">
      <c r="A18" s="34">
        <v>42001</v>
      </c>
      <c r="B18" s="14" t="s">
        <v>199</v>
      </c>
      <c r="C18" s="46" t="s">
        <v>416</v>
      </c>
      <c r="D18" s="68"/>
    </row>
    <row r="19" spans="1:4" ht="335.95" customHeight="1" x14ac:dyDescent="0.3">
      <c r="A19" s="132" t="s">
        <v>39</v>
      </c>
      <c r="B19" s="133"/>
      <c r="C19" s="113" t="s">
        <v>200</v>
      </c>
    </row>
    <row r="20" spans="1:4" ht="273.60000000000002" x14ac:dyDescent="0.3">
      <c r="A20" s="34">
        <v>27001</v>
      </c>
      <c r="B20" s="109" t="s">
        <v>43</v>
      </c>
      <c r="C20" s="37" t="s">
        <v>417</v>
      </c>
      <c r="D20" s="68"/>
    </row>
    <row r="21" spans="1:4" ht="28.8" x14ac:dyDescent="0.3">
      <c r="A21" s="132" t="s">
        <v>39</v>
      </c>
      <c r="B21" s="133"/>
      <c r="C21" s="116" t="s">
        <v>385</v>
      </c>
    </row>
    <row r="22" spans="1:4" ht="359.3" customHeight="1" x14ac:dyDescent="0.3">
      <c r="A22" s="34">
        <v>27001</v>
      </c>
      <c r="B22" s="15" t="s">
        <v>45</v>
      </c>
      <c r="C22" s="36" t="s">
        <v>418</v>
      </c>
      <c r="D22" s="68"/>
    </row>
    <row r="23" spans="1:4" ht="288" x14ac:dyDescent="0.3">
      <c r="A23" s="47">
        <v>27701</v>
      </c>
      <c r="B23" s="48" t="s">
        <v>43</v>
      </c>
      <c r="C23" s="49" t="s">
        <v>436</v>
      </c>
      <c r="D23" s="30"/>
    </row>
    <row r="24" spans="1:4" ht="409.55" x14ac:dyDescent="0.3">
      <c r="A24" s="38">
        <v>27701</v>
      </c>
      <c r="B24" s="39" t="s">
        <v>55</v>
      </c>
      <c r="C24" s="37" t="s">
        <v>437</v>
      </c>
      <c r="D24" s="30"/>
    </row>
    <row r="25" spans="1:4" ht="28.8" x14ac:dyDescent="0.3">
      <c r="A25" s="142" t="s">
        <v>39</v>
      </c>
      <c r="B25" s="133"/>
      <c r="C25" s="116" t="s">
        <v>341</v>
      </c>
    </row>
    <row r="26" spans="1:4" ht="50.7" x14ac:dyDescent="0.3">
      <c r="A26" s="36" t="s">
        <v>54</v>
      </c>
      <c r="B26" s="14" t="s">
        <v>55</v>
      </c>
      <c r="C26" s="46" t="s">
        <v>419</v>
      </c>
      <c r="D26" s="68"/>
    </row>
    <row r="27" spans="1:4" ht="43.2" x14ac:dyDescent="0.3">
      <c r="A27" s="132" t="s">
        <v>39</v>
      </c>
      <c r="B27" s="133"/>
      <c r="C27" s="117" t="s">
        <v>146</v>
      </c>
    </row>
    <row r="28" spans="1:4" ht="38.049999999999997" x14ac:dyDescent="0.3">
      <c r="A28" s="20"/>
      <c r="B28" s="16" t="s">
        <v>56</v>
      </c>
      <c r="C28" s="21" t="s">
        <v>420</v>
      </c>
      <c r="D28" s="68"/>
    </row>
    <row r="29" spans="1:4" ht="88.7" x14ac:dyDescent="0.3">
      <c r="A29" s="20"/>
      <c r="B29" s="16" t="s">
        <v>56</v>
      </c>
      <c r="C29" s="21" t="s">
        <v>57</v>
      </c>
      <c r="D29" s="68"/>
    </row>
    <row r="30" spans="1:4" x14ac:dyDescent="0.3">
      <c r="A30" s="20"/>
      <c r="B30" s="16" t="s">
        <v>56</v>
      </c>
      <c r="C30" s="21" t="s">
        <v>58</v>
      </c>
      <c r="D30" s="68"/>
    </row>
    <row r="31" spans="1:4" ht="76.05" x14ac:dyDescent="0.3">
      <c r="A31" s="20"/>
      <c r="B31" s="16" t="s">
        <v>56</v>
      </c>
      <c r="C31" s="21" t="s">
        <v>59</v>
      </c>
      <c r="D31" s="68"/>
    </row>
    <row r="32" spans="1:4" ht="172.8" x14ac:dyDescent="0.3">
      <c r="A32" s="132" t="s">
        <v>39</v>
      </c>
      <c r="B32" s="133"/>
      <c r="C32" s="118" t="s">
        <v>389</v>
      </c>
      <c r="D32" s="44"/>
    </row>
    <row r="33" spans="1:4" ht="271.14999999999998" customHeight="1" x14ac:dyDescent="0.3">
      <c r="A33" s="15">
        <v>39001</v>
      </c>
      <c r="B33" s="78" t="s">
        <v>49</v>
      </c>
      <c r="C33" s="51" t="s">
        <v>421</v>
      </c>
      <c r="D33" s="68"/>
    </row>
    <row r="34" spans="1:4" ht="63.1" customHeight="1" x14ac:dyDescent="0.3">
      <c r="A34" s="132" t="s">
        <v>39</v>
      </c>
      <c r="B34" s="133"/>
      <c r="C34" s="113" t="s">
        <v>147</v>
      </c>
    </row>
    <row r="35" spans="1:4" ht="244.8" x14ac:dyDescent="0.3">
      <c r="A35" s="15">
        <v>39001</v>
      </c>
      <c r="B35" s="16" t="s">
        <v>47</v>
      </c>
      <c r="C35" s="36" t="s">
        <v>422</v>
      </c>
      <c r="D35" s="68"/>
    </row>
    <row r="36" spans="1:4" ht="14.4" customHeight="1" x14ac:dyDescent="0.3">
      <c r="A36" s="132" t="s">
        <v>39</v>
      </c>
      <c r="B36" s="133"/>
      <c r="C36" s="113" t="s">
        <v>340</v>
      </c>
      <c r="D36" s="77"/>
    </row>
    <row r="37" spans="1:4" ht="38.049999999999997" x14ac:dyDescent="0.3">
      <c r="A37" s="36" t="s">
        <v>360</v>
      </c>
      <c r="B37" s="46" t="s">
        <v>49</v>
      </c>
      <c r="C37" s="46" t="s">
        <v>423</v>
      </c>
      <c r="D37" s="68"/>
    </row>
    <row r="38" spans="1:4" ht="38.049999999999997" x14ac:dyDescent="0.3">
      <c r="A38" s="36" t="s">
        <v>360</v>
      </c>
      <c r="B38" s="46" t="s">
        <v>49</v>
      </c>
      <c r="C38" s="46" t="s">
        <v>60</v>
      </c>
      <c r="D38" s="68"/>
    </row>
    <row r="39" spans="1:4" ht="28.8" x14ac:dyDescent="0.3">
      <c r="A39" s="36" t="s">
        <v>360</v>
      </c>
      <c r="B39" s="46" t="s">
        <v>49</v>
      </c>
      <c r="C39" s="46" t="s">
        <v>61</v>
      </c>
      <c r="D39" s="68"/>
    </row>
    <row r="40" spans="1:4" ht="57.6" x14ac:dyDescent="0.3">
      <c r="A40" s="132" t="s">
        <v>39</v>
      </c>
      <c r="B40" s="133"/>
      <c r="C40" s="113" t="s">
        <v>427</v>
      </c>
      <c r="D40" s="77"/>
    </row>
    <row r="41" spans="1:4" ht="38.049999999999997" x14ac:dyDescent="0.3">
      <c r="A41" s="15">
        <v>50001</v>
      </c>
      <c r="B41" s="14" t="s">
        <v>49</v>
      </c>
      <c r="C41" s="50" t="s">
        <v>424</v>
      </c>
      <c r="D41" s="58"/>
    </row>
    <row r="42" spans="1:4" ht="43.2" x14ac:dyDescent="0.3">
      <c r="A42" s="15">
        <v>50001</v>
      </c>
      <c r="B42" s="14" t="s">
        <v>47</v>
      </c>
      <c r="C42" s="36" t="s">
        <v>62</v>
      </c>
      <c r="D42" s="58"/>
    </row>
    <row r="43" spans="1:4" ht="43.2" x14ac:dyDescent="0.3">
      <c r="A43" s="15">
        <v>50001</v>
      </c>
      <c r="B43" s="15" t="s">
        <v>52</v>
      </c>
      <c r="C43" s="36" t="s">
        <v>63</v>
      </c>
      <c r="D43" s="58"/>
    </row>
    <row r="44" spans="1:4" ht="57.6" x14ac:dyDescent="0.3">
      <c r="A44" s="15">
        <v>50001</v>
      </c>
      <c r="B44" s="15" t="s">
        <v>53</v>
      </c>
      <c r="C44" s="36" t="s">
        <v>64</v>
      </c>
      <c r="D44" s="58"/>
    </row>
    <row r="45" spans="1:4" ht="28.8" x14ac:dyDescent="0.3">
      <c r="A45" s="15">
        <v>50001</v>
      </c>
      <c r="B45" s="15" t="s">
        <v>53</v>
      </c>
      <c r="C45" s="36" t="s">
        <v>65</v>
      </c>
      <c r="D45" s="58"/>
    </row>
    <row r="46" spans="1:4" ht="31.4" customHeight="1" x14ac:dyDescent="0.3">
      <c r="A46" s="131" t="s">
        <v>39</v>
      </c>
      <c r="B46" s="131"/>
      <c r="C46" s="115" t="s">
        <v>318</v>
      </c>
      <c r="D46" s="66"/>
    </row>
    <row r="50" spans="2:5" ht="15" thickBot="1" x14ac:dyDescent="0.35">
      <c r="B50" s="7" t="s">
        <v>3</v>
      </c>
      <c r="C50" s="7" t="s">
        <v>29</v>
      </c>
      <c r="D50" s="7" t="s">
        <v>2</v>
      </c>
      <c r="E50" s="8" t="s">
        <v>30</v>
      </c>
    </row>
    <row r="51" spans="2:5" x14ac:dyDescent="0.3">
      <c r="B51" s="67"/>
      <c r="C51" s="67"/>
      <c r="D51" s="61"/>
      <c r="E51" s="61"/>
    </row>
    <row r="52" spans="2:5" x14ac:dyDescent="0.3">
      <c r="B52" s="68"/>
      <c r="C52" s="68"/>
      <c r="D52" s="58"/>
      <c r="E52" s="58"/>
    </row>
    <row r="53" spans="2:5" x14ac:dyDescent="0.3">
      <c r="B53" s="68"/>
      <c r="C53" s="68"/>
      <c r="D53" s="58"/>
      <c r="E53" s="58"/>
    </row>
    <row r="54" spans="2:5" x14ac:dyDescent="0.3">
      <c r="B54" s="68"/>
      <c r="C54" s="68"/>
      <c r="D54" s="58"/>
      <c r="E54" s="58"/>
    </row>
    <row r="55" spans="2:5" x14ac:dyDescent="0.3">
      <c r="B55" s="68"/>
      <c r="C55" s="68"/>
      <c r="D55" s="58"/>
      <c r="E55" s="58"/>
    </row>
    <row r="56" spans="2:5" x14ac:dyDescent="0.3">
      <c r="B56" s="68"/>
      <c r="C56" s="68"/>
      <c r="D56" s="58"/>
      <c r="E56" s="58"/>
    </row>
    <row r="57" spans="2:5" x14ac:dyDescent="0.3">
      <c r="B57" s="69"/>
      <c r="C57" s="69"/>
      <c r="D57" s="64"/>
      <c r="E57" s="64"/>
    </row>
  </sheetData>
  <sheetProtection formatCells="0" formatColumns="0" formatRows="0"/>
  <mergeCells count="14">
    <mergeCell ref="A9:B9"/>
    <mergeCell ref="A11:B11"/>
    <mergeCell ref="A13:B13"/>
    <mergeCell ref="A21:B21"/>
    <mergeCell ref="A46:B46"/>
    <mergeCell ref="A15:B15"/>
    <mergeCell ref="A25:B25"/>
    <mergeCell ref="A34:B34"/>
    <mergeCell ref="A17:B17"/>
    <mergeCell ref="A19:B19"/>
    <mergeCell ref="A27:B27"/>
    <mergeCell ref="A32:B32"/>
    <mergeCell ref="A36:B36"/>
    <mergeCell ref="A40:B40"/>
  </mergeCells>
  <phoneticPr fontId="6" type="noConversion"/>
  <dataValidations count="2">
    <dataValidation type="list" allowBlank="1" showInputMessage="1" showErrorMessage="1" sqref="E51:E57" xr:uid="{CAE72FDA-507C-4943-A2AB-BB85AC4943E8}">
      <formula1>"NCMin, NCMagg, Oss"</formula1>
    </dataValidation>
    <dataValidation type="list" allowBlank="1" showInputMessage="1" showErrorMessage="1" sqref="D2:D9 D10 D12 D16 D26 D37:D40 D33 D35:D36 D28:D31 D14 D22:D24 D18 D20" xr:uid="{0FD1E190-0E4E-47DC-9E1D-C31200814819}">
      <formula1>#REF!</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201A1-9D11-4E10-B3CF-3A999DD63809}">
  <sheetPr codeName="Foglio5"/>
  <dimension ref="A1:M86"/>
  <sheetViews>
    <sheetView topLeftCell="A33" zoomScaleNormal="100" workbookViewId="0">
      <selection activeCell="A34" sqref="A34:XFD35"/>
    </sheetView>
  </sheetViews>
  <sheetFormatPr defaultRowHeight="14.4" x14ac:dyDescent="0.3"/>
  <cols>
    <col min="1" max="1" width="11.3984375" customWidth="1"/>
    <col min="3" max="3" width="90.59765625" customWidth="1"/>
    <col min="9" max="9" width="57.8984375" customWidth="1"/>
    <col min="11" max="11" width="0" hidden="1" customWidth="1"/>
    <col min="13" max="13" width="0" hidden="1" customWidth="1"/>
  </cols>
  <sheetData>
    <row r="1" spans="1:11" ht="16.7" thickBot="1" x14ac:dyDescent="0.35">
      <c r="A1" s="76" t="s">
        <v>2</v>
      </c>
      <c r="B1" s="76" t="s">
        <v>3</v>
      </c>
      <c r="C1" s="76" t="s">
        <v>4</v>
      </c>
      <c r="D1" s="76"/>
    </row>
    <row r="2" spans="1:11" ht="50.7" x14ac:dyDescent="0.3">
      <c r="A2" s="15">
        <v>39001</v>
      </c>
      <c r="B2" s="14" t="s">
        <v>309</v>
      </c>
      <c r="C2" s="46" t="s">
        <v>67</v>
      </c>
      <c r="D2" s="68"/>
      <c r="K2" s="26" t="s">
        <v>43</v>
      </c>
    </row>
    <row r="3" spans="1:11" ht="53.15" customHeight="1" x14ac:dyDescent="0.3">
      <c r="A3" s="132" t="s">
        <v>39</v>
      </c>
      <c r="B3" s="133"/>
      <c r="C3" s="121"/>
      <c r="I3" s="29"/>
    </row>
    <row r="4" spans="1:11" ht="38.6" thickBot="1" x14ac:dyDescent="0.35">
      <c r="A4" s="15"/>
      <c r="B4" s="14" t="s">
        <v>310</v>
      </c>
      <c r="C4" s="46" t="s">
        <v>311</v>
      </c>
      <c r="D4" s="68"/>
      <c r="K4" s="22" t="s">
        <v>45</v>
      </c>
    </row>
    <row r="5" spans="1:11" ht="126.75" x14ac:dyDescent="0.3">
      <c r="A5" s="132" t="s">
        <v>39</v>
      </c>
      <c r="B5" s="133"/>
      <c r="C5" s="119" t="s">
        <v>432</v>
      </c>
      <c r="I5" s="30"/>
    </row>
    <row r="6" spans="1:11" ht="49.7" customHeight="1" x14ac:dyDescent="0.3">
      <c r="A6" s="15">
        <v>9001</v>
      </c>
      <c r="B6" s="14" t="s">
        <v>68</v>
      </c>
      <c r="C6" s="46" t="s">
        <v>148</v>
      </c>
      <c r="D6" s="68"/>
      <c r="K6" s="30"/>
    </row>
    <row r="7" spans="1:11" x14ac:dyDescent="0.3">
      <c r="A7" s="132" t="s">
        <v>39</v>
      </c>
      <c r="B7" s="133"/>
      <c r="C7" s="146" t="s">
        <v>390</v>
      </c>
      <c r="I7" s="30"/>
    </row>
    <row r="8" spans="1:11" x14ac:dyDescent="0.3">
      <c r="A8" s="138"/>
      <c r="B8" s="139"/>
      <c r="C8" s="147"/>
      <c r="I8" s="30"/>
    </row>
    <row r="9" spans="1:11" x14ac:dyDescent="0.3">
      <c r="A9" s="140"/>
      <c r="B9" s="141"/>
      <c r="C9" s="148"/>
      <c r="I9" s="30"/>
    </row>
    <row r="10" spans="1:11" ht="101.4" x14ac:dyDescent="0.3">
      <c r="A10" s="15">
        <v>9001</v>
      </c>
      <c r="B10" s="14" t="s">
        <v>69</v>
      </c>
      <c r="C10" s="46" t="s">
        <v>70</v>
      </c>
      <c r="D10" s="68"/>
      <c r="K10" s="30"/>
    </row>
    <row r="11" spans="1:11" ht="91.15" customHeight="1" x14ac:dyDescent="0.3">
      <c r="A11" s="132" t="s">
        <v>39</v>
      </c>
      <c r="B11" s="133"/>
      <c r="C11" s="119" t="s">
        <v>431</v>
      </c>
      <c r="K11" s="30"/>
    </row>
    <row r="12" spans="1:11" x14ac:dyDescent="0.3">
      <c r="A12" s="15">
        <v>9001</v>
      </c>
      <c r="B12" s="14" t="s">
        <v>71</v>
      </c>
      <c r="C12" s="46" t="s">
        <v>72</v>
      </c>
      <c r="D12" s="68"/>
      <c r="K12" s="30"/>
    </row>
    <row r="13" spans="1:11" ht="25.35" x14ac:dyDescent="0.3">
      <c r="A13" s="15">
        <v>9001</v>
      </c>
      <c r="B13" s="14" t="s">
        <v>73</v>
      </c>
      <c r="C13" s="46" t="s">
        <v>74</v>
      </c>
      <c r="D13" s="68"/>
      <c r="K13" s="30"/>
    </row>
    <row r="14" spans="1:11" ht="71.150000000000006" customHeight="1" x14ac:dyDescent="0.3">
      <c r="A14" s="132" t="s">
        <v>39</v>
      </c>
      <c r="B14" s="133"/>
      <c r="C14" s="143" t="s">
        <v>75</v>
      </c>
      <c r="J14" s="30"/>
    </row>
    <row r="15" spans="1:11" x14ac:dyDescent="0.3">
      <c r="A15" s="138"/>
      <c r="B15" s="139"/>
      <c r="C15" s="144"/>
      <c r="J15" s="30"/>
    </row>
    <row r="16" spans="1:11" x14ac:dyDescent="0.3">
      <c r="A16" s="140"/>
      <c r="B16" s="141"/>
      <c r="C16" s="145"/>
      <c r="J16" s="30"/>
    </row>
    <row r="17" spans="1:11" ht="28.8" x14ac:dyDescent="0.3">
      <c r="A17" s="16" t="s">
        <v>306</v>
      </c>
      <c r="B17" s="14" t="s">
        <v>312</v>
      </c>
      <c r="C17" s="46" t="s">
        <v>77</v>
      </c>
      <c r="D17" s="68"/>
      <c r="K17" s="30"/>
    </row>
    <row r="18" spans="1:11" ht="77.5" customHeight="1" x14ac:dyDescent="0.3">
      <c r="A18" s="132" t="s">
        <v>39</v>
      </c>
      <c r="B18" s="133"/>
      <c r="C18" s="119" t="s">
        <v>430</v>
      </c>
      <c r="K18" s="30"/>
    </row>
    <row r="19" spans="1:11" ht="25.35" x14ac:dyDescent="0.3">
      <c r="A19" s="15"/>
      <c r="B19" s="14" t="s">
        <v>78</v>
      </c>
      <c r="C19" s="46" t="s">
        <v>79</v>
      </c>
      <c r="D19" s="68"/>
      <c r="K19" s="30"/>
    </row>
    <row r="20" spans="1:11" x14ac:dyDescent="0.3">
      <c r="A20" s="15"/>
      <c r="B20" s="14" t="s">
        <v>78</v>
      </c>
      <c r="C20" s="46" t="s">
        <v>80</v>
      </c>
      <c r="D20" s="68"/>
      <c r="K20" s="30"/>
    </row>
    <row r="21" spans="1:11" ht="25.35" x14ac:dyDescent="0.3">
      <c r="A21" s="15"/>
      <c r="B21" s="14" t="s">
        <v>78</v>
      </c>
      <c r="C21" s="46" t="s">
        <v>81</v>
      </c>
      <c r="D21" s="68"/>
      <c r="K21" s="30"/>
    </row>
    <row r="22" spans="1:11" x14ac:dyDescent="0.3">
      <c r="A22" s="15"/>
      <c r="B22" s="14" t="s">
        <v>78</v>
      </c>
      <c r="C22" s="46" t="s">
        <v>82</v>
      </c>
      <c r="D22" s="68"/>
      <c r="K22" s="30"/>
    </row>
    <row r="23" spans="1:11" x14ac:dyDescent="0.3">
      <c r="A23" s="15"/>
      <c r="B23" s="14" t="s">
        <v>78</v>
      </c>
      <c r="C23" s="46" t="s">
        <v>83</v>
      </c>
      <c r="D23" s="68"/>
      <c r="K23" s="30"/>
    </row>
    <row r="24" spans="1:11" ht="240.8" x14ac:dyDescent="0.3">
      <c r="A24" s="132" t="s">
        <v>39</v>
      </c>
      <c r="B24" s="133"/>
      <c r="C24" s="119" t="s">
        <v>391</v>
      </c>
      <c r="J24" s="30"/>
    </row>
    <row r="25" spans="1:11" ht="304.14999999999998" x14ac:dyDescent="0.3">
      <c r="A25" s="16" t="s">
        <v>304</v>
      </c>
      <c r="B25" s="14" t="s">
        <v>149</v>
      </c>
      <c r="C25" s="46" t="s">
        <v>150</v>
      </c>
      <c r="D25" s="68"/>
      <c r="K25" s="30"/>
    </row>
    <row r="26" spans="1:11" ht="57.6" customHeight="1" x14ac:dyDescent="0.3">
      <c r="A26" s="132" t="s">
        <v>39</v>
      </c>
      <c r="B26" s="133"/>
      <c r="C26" s="119" t="s">
        <v>151</v>
      </c>
      <c r="J26" s="30"/>
    </row>
    <row r="27" spans="1:11" ht="38.049999999999997" x14ac:dyDescent="0.3">
      <c r="A27" s="15"/>
      <c r="B27" s="14" t="s">
        <v>85</v>
      </c>
      <c r="C27" s="46" t="s">
        <v>86</v>
      </c>
      <c r="D27" s="68"/>
      <c r="K27" s="30"/>
    </row>
    <row r="28" spans="1:11" ht="76.05" x14ac:dyDescent="0.3">
      <c r="A28" s="132" t="s">
        <v>39</v>
      </c>
      <c r="B28" s="133"/>
      <c r="C28" s="119" t="s">
        <v>392</v>
      </c>
      <c r="K28" s="30"/>
    </row>
    <row r="29" spans="1:11" ht="25.35" x14ac:dyDescent="0.3">
      <c r="A29" s="15"/>
      <c r="B29" s="14" t="s">
        <v>87</v>
      </c>
      <c r="C29" s="46" t="s">
        <v>88</v>
      </c>
      <c r="D29" s="68"/>
      <c r="K29" s="30"/>
    </row>
    <row r="30" spans="1:11" x14ac:dyDescent="0.3">
      <c r="A30" s="15"/>
      <c r="B30" s="14" t="s">
        <v>87</v>
      </c>
      <c r="C30" s="46" t="s">
        <v>89</v>
      </c>
      <c r="D30" s="68"/>
      <c r="K30" s="30"/>
    </row>
    <row r="31" spans="1:11" ht="25.35" x14ac:dyDescent="0.3">
      <c r="A31" s="15"/>
      <c r="B31" s="14" t="s">
        <v>87</v>
      </c>
      <c r="C31" s="46" t="s">
        <v>90</v>
      </c>
      <c r="D31" s="68"/>
      <c r="K31" s="30"/>
    </row>
    <row r="32" spans="1:11" ht="50.7" x14ac:dyDescent="0.3">
      <c r="A32" s="132" t="s">
        <v>39</v>
      </c>
      <c r="B32" s="133"/>
      <c r="C32" s="119" t="s">
        <v>393</v>
      </c>
      <c r="J32" s="30"/>
    </row>
    <row r="33" spans="1:11" ht="228.1" x14ac:dyDescent="0.3">
      <c r="A33" s="15"/>
      <c r="B33" s="14" t="s">
        <v>315</v>
      </c>
      <c r="C33" s="46" t="s">
        <v>152</v>
      </c>
      <c r="D33" s="68"/>
      <c r="K33" s="30"/>
    </row>
    <row r="34" spans="1:11" ht="25.35" x14ac:dyDescent="0.3">
      <c r="A34" s="15">
        <v>39001</v>
      </c>
      <c r="B34" s="14" t="s">
        <v>92</v>
      </c>
      <c r="C34" s="46" t="s">
        <v>93</v>
      </c>
      <c r="D34" s="68"/>
      <c r="K34" s="30"/>
    </row>
    <row r="35" spans="1:11" ht="50.7" x14ac:dyDescent="0.3">
      <c r="A35" s="131" t="s">
        <v>39</v>
      </c>
      <c r="B35" s="131"/>
      <c r="C35" s="120" t="s">
        <v>429</v>
      </c>
      <c r="J35" s="30"/>
    </row>
    <row r="38" spans="1:11" ht="15" thickBot="1" x14ac:dyDescent="0.35">
      <c r="B38" s="7" t="s">
        <v>3</v>
      </c>
      <c r="C38" s="7" t="s">
        <v>29</v>
      </c>
      <c r="D38" s="7" t="s">
        <v>2</v>
      </c>
      <c r="E38" s="8" t="s">
        <v>30</v>
      </c>
    </row>
    <row r="39" spans="1:11" x14ac:dyDescent="0.3">
      <c r="B39" s="67"/>
      <c r="C39" s="67"/>
      <c r="D39" s="61"/>
      <c r="E39" s="61"/>
    </row>
    <row r="40" spans="1:11" x14ac:dyDescent="0.3">
      <c r="B40" s="68"/>
      <c r="C40" s="68"/>
      <c r="D40" s="58"/>
      <c r="E40" s="58"/>
    </row>
    <row r="41" spans="1:11" x14ac:dyDescent="0.3">
      <c r="B41" s="68"/>
      <c r="C41" s="68"/>
      <c r="D41" s="58"/>
      <c r="E41" s="58"/>
    </row>
    <row r="42" spans="1:11" x14ac:dyDescent="0.3">
      <c r="B42" s="68"/>
      <c r="C42" s="68"/>
      <c r="D42" s="58"/>
      <c r="E42" s="58"/>
    </row>
    <row r="43" spans="1:11" x14ac:dyDescent="0.3">
      <c r="B43" s="68"/>
      <c r="C43" s="68"/>
      <c r="D43" s="58"/>
      <c r="E43" s="58"/>
    </row>
    <row r="44" spans="1:11" x14ac:dyDescent="0.3">
      <c r="B44" s="68"/>
      <c r="C44" s="68"/>
      <c r="D44" s="58"/>
      <c r="E44" s="58"/>
    </row>
    <row r="45" spans="1:11" x14ac:dyDescent="0.3">
      <c r="B45" s="69"/>
      <c r="C45" s="69"/>
      <c r="D45" s="64"/>
      <c r="E45" s="64"/>
    </row>
    <row r="66" spans="13:13" ht="15" thickBot="1" x14ac:dyDescent="0.35"/>
    <row r="67" spans="13:13" ht="15" thickBot="1" x14ac:dyDescent="0.35">
      <c r="M67" s="31" t="s">
        <v>66</v>
      </c>
    </row>
    <row r="68" spans="13:13" ht="15" thickBot="1" x14ac:dyDescent="0.35">
      <c r="M68" s="32" t="s">
        <v>66</v>
      </c>
    </row>
    <row r="69" spans="13:13" ht="15" thickBot="1" x14ac:dyDescent="0.35">
      <c r="M69" s="32" t="s">
        <v>68</v>
      </c>
    </row>
    <row r="70" spans="13:13" x14ac:dyDescent="0.3">
      <c r="M70" s="19" t="s">
        <v>69</v>
      </c>
    </row>
    <row r="71" spans="13:13" x14ac:dyDescent="0.3">
      <c r="M71" s="14" t="s">
        <v>71</v>
      </c>
    </row>
    <row r="72" spans="13:13" ht="15" thickBot="1" x14ac:dyDescent="0.35">
      <c r="M72" s="18" t="s">
        <v>73</v>
      </c>
    </row>
    <row r="73" spans="13:13" x14ac:dyDescent="0.3">
      <c r="M73" s="19" t="s">
        <v>76</v>
      </c>
    </row>
    <row r="74" spans="13:13" x14ac:dyDescent="0.3">
      <c r="M74" s="14" t="s">
        <v>78</v>
      </c>
    </row>
    <row r="75" spans="13:13" x14ac:dyDescent="0.3">
      <c r="M75" s="14" t="s">
        <v>78</v>
      </c>
    </row>
    <row r="76" spans="13:13" x14ac:dyDescent="0.3">
      <c r="M76" s="14" t="s">
        <v>78</v>
      </c>
    </row>
    <row r="77" spans="13:13" x14ac:dyDescent="0.3">
      <c r="M77" s="14" t="s">
        <v>78</v>
      </c>
    </row>
    <row r="78" spans="13:13" x14ac:dyDescent="0.3">
      <c r="M78" s="14" t="s">
        <v>78</v>
      </c>
    </row>
    <row r="79" spans="13:13" x14ac:dyDescent="0.3">
      <c r="M79" s="17" t="s">
        <v>78</v>
      </c>
    </row>
    <row r="80" spans="13:13" ht="25.35" x14ac:dyDescent="0.3">
      <c r="M80" s="33" t="s">
        <v>84</v>
      </c>
    </row>
    <row r="81" spans="13:13" x14ac:dyDescent="0.3">
      <c r="M81" s="17" t="s">
        <v>85</v>
      </c>
    </row>
    <row r="82" spans="13:13" x14ac:dyDescent="0.3">
      <c r="M82" s="14" t="s">
        <v>87</v>
      </c>
    </row>
    <row r="83" spans="13:13" x14ac:dyDescent="0.3">
      <c r="M83" s="14" t="s">
        <v>87</v>
      </c>
    </row>
    <row r="84" spans="13:13" x14ac:dyDescent="0.3">
      <c r="M84" s="33" t="s">
        <v>87</v>
      </c>
    </row>
    <row r="85" spans="13:13" x14ac:dyDescent="0.3">
      <c r="M85" s="17" t="s">
        <v>91</v>
      </c>
    </row>
    <row r="86" spans="13:13" x14ac:dyDescent="0.3">
      <c r="M86" s="33" t="s">
        <v>92</v>
      </c>
    </row>
  </sheetData>
  <sheetProtection formatCells="0" formatColumns="0" formatRows="0"/>
  <mergeCells count="13">
    <mergeCell ref="A3:B3"/>
    <mergeCell ref="A14:B16"/>
    <mergeCell ref="C14:C16"/>
    <mergeCell ref="A18:B18"/>
    <mergeCell ref="A11:B11"/>
    <mergeCell ref="A5:B5"/>
    <mergeCell ref="A7:B9"/>
    <mergeCell ref="C7:C9"/>
    <mergeCell ref="A35:B35"/>
    <mergeCell ref="A26:B26"/>
    <mergeCell ref="A28:B28"/>
    <mergeCell ref="A24:B24"/>
    <mergeCell ref="A32:B32"/>
  </mergeCells>
  <dataValidations count="2">
    <dataValidation type="list" allowBlank="1" showInputMessage="1" showErrorMessage="1" sqref="E39:E45" xr:uid="{66D8DDE1-A6BC-4CED-B54E-668231B42F01}">
      <formula1>"NCMin, NCMagg, Oss"</formula1>
    </dataValidation>
    <dataValidation type="list" allowBlank="1" showInputMessage="1" showErrorMessage="1" sqref="D2 D4:D34" xr:uid="{81464F19-2E8C-42DF-971B-33B5B6FF1B8F}">
      <formula1>#REF!</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39D3-2F1C-4E96-8913-38D303F1BDBF}">
  <sheetPr codeName="Foglio10"/>
  <dimension ref="A1:E129"/>
  <sheetViews>
    <sheetView tabSelected="1" topLeftCell="A28" zoomScale="85" zoomScaleNormal="85" workbookViewId="0">
      <selection activeCell="A33" sqref="A33:B33"/>
    </sheetView>
  </sheetViews>
  <sheetFormatPr defaultRowHeight="14.4" x14ac:dyDescent="0.3"/>
  <cols>
    <col min="1" max="1" width="18.296875" customWidth="1"/>
    <col min="2" max="2" width="16" customWidth="1"/>
    <col min="3" max="3" width="88.59765625" style="80" customWidth="1"/>
    <col min="4" max="4" width="11.69921875" customWidth="1"/>
    <col min="7" max="7" width="67.59765625" customWidth="1"/>
    <col min="11" max="11" width="61.59765625" customWidth="1"/>
    <col min="15" max="15" width="0" hidden="1" customWidth="1"/>
  </cols>
  <sheetData>
    <row r="1" spans="1:4" ht="15" customHeight="1" x14ac:dyDescent="0.35">
      <c r="A1" s="45" t="s">
        <v>2</v>
      </c>
      <c r="B1" s="45" t="s">
        <v>3</v>
      </c>
      <c r="C1" s="111" t="s">
        <v>4</v>
      </c>
      <c r="D1" s="34" t="s">
        <v>5</v>
      </c>
    </row>
    <row r="2" spans="1:4" ht="96.05" customHeight="1" x14ac:dyDescent="0.3">
      <c r="A2" s="14" t="s">
        <v>396</v>
      </c>
      <c r="B2" s="14" t="s">
        <v>397</v>
      </c>
      <c r="C2" s="50" t="s">
        <v>398</v>
      </c>
      <c r="D2" s="68"/>
    </row>
    <row r="3" spans="1:4" ht="55.9" customHeight="1" x14ac:dyDescent="0.3">
      <c r="A3" s="149" t="s">
        <v>39</v>
      </c>
      <c r="B3" s="150"/>
      <c r="C3" s="112"/>
    </row>
    <row r="4" spans="1:4" ht="64.55" customHeight="1" x14ac:dyDescent="0.3">
      <c r="A4" s="14">
        <v>9001</v>
      </c>
      <c r="B4" s="14" t="s">
        <v>399</v>
      </c>
      <c r="C4" s="50" t="s">
        <v>400</v>
      </c>
      <c r="D4" s="68"/>
    </row>
    <row r="5" spans="1:4" ht="64.55" customHeight="1" x14ac:dyDescent="0.3">
      <c r="A5" s="149" t="s">
        <v>39</v>
      </c>
      <c r="B5" s="150"/>
      <c r="C5" s="112"/>
    </row>
    <row r="6" spans="1:4" ht="127.3" customHeight="1" x14ac:dyDescent="0.3">
      <c r="A6" s="14" t="s">
        <v>438</v>
      </c>
      <c r="B6" s="14" t="s">
        <v>397</v>
      </c>
      <c r="C6" s="50" t="s">
        <v>401</v>
      </c>
      <c r="D6" s="68"/>
    </row>
    <row r="7" spans="1:4" ht="127.3" customHeight="1" x14ac:dyDescent="0.3">
      <c r="A7" s="149" t="s">
        <v>39</v>
      </c>
      <c r="B7" s="150"/>
      <c r="C7" s="112"/>
    </row>
    <row r="8" spans="1:4" ht="79.2" customHeight="1" x14ac:dyDescent="0.3">
      <c r="A8" s="14">
        <v>37301</v>
      </c>
      <c r="B8" s="14" t="s">
        <v>94</v>
      </c>
      <c r="C8" s="50" t="s">
        <v>193</v>
      </c>
      <c r="D8" s="68"/>
    </row>
    <row r="9" spans="1:4" ht="79.2" customHeight="1" x14ac:dyDescent="0.3">
      <c r="A9" s="149" t="s">
        <v>39</v>
      </c>
      <c r="B9" s="150"/>
      <c r="C9" s="112"/>
    </row>
    <row r="10" spans="1:4" ht="79.2" customHeight="1" x14ac:dyDescent="0.3">
      <c r="A10" s="14">
        <v>42001</v>
      </c>
      <c r="B10" s="14" t="s">
        <v>94</v>
      </c>
      <c r="C10" s="50" t="s">
        <v>259</v>
      </c>
      <c r="D10" s="68"/>
    </row>
    <row r="11" spans="1:4" ht="79.2" customHeight="1" x14ac:dyDescent="0.3">
      <c r="A11" s="149" t="s">
        <v>39</v>
      </c>
      <c r="B11" s="150"/>
      <c r="C11" s="112"/>
    </row>
    <row r="12" spans="1:4" ht="151.5" customHeight="1" x14ac:dyDescent="0.3">
      <c r="A12" s="14" t="s">
        <v>201</v>
      </c>
      <c r="B12" s="14" t="s">
        <v>94</v>
      </c>
      <c r="C12" s="50" t="s">
        <v>202</v>
      </c>
      <c r="D12" s="68"/>
    </row>
    <row r="13" spans="1:4" ht="79.2" customHeight="1" x14ac:dyDescent="0.3">
      <c r="A13" s="149" t="s">
        <v>39</v>
      </c>
      <c r="B13" s="150"/>
      <c r="C13" s="112"/>
    </row>
    <row r="14" spans="1:4" ht="211.55" customHeight="1" x14ac:dyDescent="0.3">
      <c r="A14" s="14" t="s">
        <v>201</v>
      </c>
      <c r="B14" s="14" t="s">
        <v>204</v>
      </c>
      <c r="C14" s="50" t="s">
        <v>205</v>
      </c>
      <c r="D14" s="68"/>
    </row>
    <row r="15" spans="1:4" ht="79.2" customHeight="1" x14ac:dyDescent="0.3">
      <c r="A15" s="149" t="s">
        <v>39</v>
      </c>
      <c r="B15" s="150"/>
      <c r="C15" s="112"/>
    </row>
    <row r="16" spans="1:4" ht="209.95" customHeight="1" x14ac:dyDescent="0.3">
      <c r="A16" s="14" t="s">
        <v>201</v>
      </c>
      <c r="B16" s="14" t="s">
        <v>207</v>
      </c>
      <c r="C16" s="50" t="s">
        <v>206</v>
      </c>
      <c r="D16" s="68"/>
    </row>
    <row r="17" spans="1:4" ht="79.2" customHeight="1" x14ac:dyDescent="0.3">
      <c r="A17" s="149" t="s">
        <v>39</v>
      </c>
      <c r="B17" s="150"/>
      <c r="C17" s="112"/>
    </row>
    <row r="18" spans="1:4" ht="209.95" customHeight="1" x14ac:dyDescent="0.3">
      <c r="A18" s="14" t="s">
        <v>201</v>
      </c>
      <c r="B18" s="14" t="s">
        <v>211</v>
      </c>
      <c r="C18" s="50" t="s">
        <v>210</v>
      </c>
      <c r="D18" s="68"/>
    </row>
    <row r="19" spans="1:4" ht="79.2" customHeight="1" x14ac:dyDescent="0.3">
      <c r="A19" s="149" t="s">
        <v>39</v>
      </c>
      <c r="B19" s="150"/>
      <c r="C19" s="112"/>
    </row>
    <row r="20" spans="1:4" ht="209.95" customHeight="1" x14ac:dyDescent="0.3">
      <c r="A20" s="14" t="s">
        <v>201</v>
      </c>
      <c r="B20" s="14" t="s">
        <v>213</v>
      </c>
      <c r="C20" s="50" t="s">
        <v>214</v>
      </c>
      <c r="D20" s="68"/>
    </row>
    <row r="21" spans="1:4" ht="79.2" customHeight="1" x14ac:dyDescent="0.3">
      <c r="A21" s="149" t="s">
        <v>39</v>
      </c>
      <c r="B21" s="150"/>
      <c r="C21" s="112"/>
    </row>
    <row r="22" spans="1:4" ht="209.95" customHeight="1" x14ac:dyDescent="0.3">
      <c r="A22" s="14" t="s">
        <v>201</v>
      </c>
      <c r="B22" s="14" t="s">
        <v>216</v>
      </c>
      <c r="C22" s="50" t="s">
        <v>218</v>
      </c>
      <c r="D22" s="68"/>
    </row>
    <row r="23" spans="1:4" ht="79.2" customHeight="1" x14ac:dyDescent="0.3">
      <c r="A23" s="149" t="s">
        <v>39</v>
      </c>
      <c r="B23" s="150"/>
      <c r="C23" s="112"/>
    </row>
    <row r="24" spans="1:4" ht="173.7" customHeight="1" x14ac:dyDescent="0.3">
      <c r="A24" s="14">
        <v>50001</v>
      </c>
      <c r="B24" s="14" t="s">
        <v>94</v>
      </c>
      <c r="C24" s="50" t="s">
        <v>300</v>
      </c>
      <c r="D24" s="68"/>
    </row>
    <row r="25" spans="1:4" ht="79.2" customHeight="1" x14ac:dyDescent="0.3">
      <c r="A25" s="149" t="s">
        <v>39</v>
      </c>
      <c r="B25" s="150"/>
      <c r="C25" s="112"/>
    </row>
    <row r="26" spans="1:4" ht="146.19999999999999" customHeight="1" x14ac:dyDescent="0.3">
      <c r="A26" s="14">
        <v>27001</v>
      </c>
      <c r="B26" s="14" t="s">
        <v>94</v>
      </c>
      <c r="C26" s="50" t="s">
        <v>302</v>
      </c>
      <c r="D26" s="68"/>
    </row>
    <row r="27" spans="1:4" ht="79.2" customHeight="1" x14ac:dyDescent="0.3">
      <c r="A27" s="149" t="s">
        <v>39</v>
      </c>
      <c r="B27" s="150"/>
      <c r="C27" s="112"/>
    </row>
    <row r="28" spans="1:4" ht="146.19999999999999" customHeight="1" x14ac:dyDescent="0.3">
      <c r="A28" s="14">
        <v>27701</v>
      </c>
      <c r="B28" s="14" t="s">
        <v>94</v>
      </c>
      <c r="C28" s="50" t="s">
        <v>439</v>
      </c>
      <c r="D28" s="68"/>
    </row>
    <row r="29" spans="1:4" ht="79.2" customHeight="1" x14ac:dyDescent="0.3">
      <c r="A29" s="149" t="s">
        <v>39</v>
      </c>
      <c r="B29" s="150"/>
      <c r="C29" s="112"/>
    </row>
    <row r="30" spans="1:4" ht="137.94999999999999" customHeight="1" x14ac:dyDescent="0.3">
      <c r="A30" s="14">
        <v>27001</v>
      </c>
      <c r="B30" s="14" t="s">
        <v>95</v>
      </c>
      <c r="C30" s="50" t="s">
        <v>303</v>
      </c>
      <c r="D30" s="68"/>
    </row>
    <row r="31" spans="1:4" ht="79.2" customHeight="1" x14ac:dyDescent="0.3">
      <c r="A31" s="149" t="s">
        <v>39</v>
      </c>
      <c r="B31" s="150"/>
      <c r="C31" s="112"/>
    </row>
    <row r="32" spans="1:4" ht="137.94999999999999" customHeight="1" x14ac:dyDescent="0.3">
      <c r="A32" s="14">
        <v>27701</v>
      </c>
      <c r="B32" s="14" t="s">
        <v>95</v>
      </c>
      <c r="C32" s="50" t="s">
        <v>440</v>
      </c>
      <c r="D32" s="68"/>
    </row>
    <row r="33" spans="1:4" ht="79.2" customHeight="1" x14ac:dyDescent="0.3">
      <c r="A33" s="149" t="s">
        <v>39</v>
      </c>
      <c r="B33" s="150"/>
      <c r="C33" s="112"/>
    </row>
    <row r="34" spans="1:4" ht="79.2" customHeight="1" x14ac:dyDescent="0.3">
      <c r="A34" s="14">
        <v>22301</v>
      </c>
      <c r="B34" s="14" t="s">
        <v>268</v>
      </c>
      <c r="C34" s="50" t="s">
        <v>266</v>
      </c>
      <c r="D34" s="68"/>
    </row>
    <row r="35" spans="1:4" ht="79.2" customHeight="1" x14ac:dyDescent="0.3">
      <c r="A35" s="149" t="s">
        <v>39</v>
      </c>
      <c r="B35" s="150"/>
      <c r="C35" s="112"/>
    </row>
    <row r="36" spans="1:4" ht="79.2" customHeight="1" x14ac:dyDescent="0.3">
      <c r="A36" s="14">
        <v>22301</v>
      </c>
      <c r="B36" s="14" t="s">
        <v>204</v>
      </c>
      <c r="C36" s="50" t="s">
        <v>269</v>
      </c>
      <c r="D36" s="68"/>
    </row>
    <row r="37" spans="1:4" ht="79.2" customHeight="1" x14ac:dyDescent="0.3">
      <c r="A37" s="149" t="s">
        <v>39</v>
      </c>
      <c r="B37" s="150"/>
      <c r="C37" s="112"/>
    </row>
    <row r="38" spans="1:4" ht="79.2" customHeight="1" x14ac:dyDescent="0.3">
      <c r="A38" s="14">
        <v>22301</v>
      </c>
      <c r="B38" s="14" t="s">
        <v>207</v>
      </c>
      <c r="C38" s="50" t="s">
        <v>271</v>
      </c>
      <c r="D38" s="68"/>
    </row>
    <row r="39" spans="1:4" ht="79.2" customHeight="1" x14ac:dyDescent="0.3">
      <c r="A39" s="149" t="s">
        <v>39</v>
      </c>
      <c r="B39" s="150"/>
      <c r="C39" s="112"/>
    </row>
    <row r="40" spans="1:4" ht="79.2" customHeight="1" x14ac:dyDescent="0.3">
      <c r="A40" s="14">
        <v>22301</v>
      </c>
      <c r="B40" s="14" t="s">
        <v>219</v>
      </c>
      <c r="C40" s="50" t="s">
        <v>274</v>
      </c>
      <c r="D40" s="68"/>
    </row>
    <row r="41" spans="1:4" ht="79.2" customHeight="1" x14ac:dyDescent="0.3">
      <c r="A41" s="149" t="s">
        <v>39</v>
      </c>
      <c r="B41" s="150"/>
      <c r="C41" s="112"/>
    </row>
    <row r="42" spans="1:4" ht="79.2" customHeight="1" x14ac:dyDescent="0.3">
      <c r="A42" s="14">
        <v>22301</v>
      </c>
      <c r="B42" s="14" t="s">
        <v>222</v>
      </c>
      <c r="C42" s="50" t="s">
        <v>276</v>
      </c>
      <c r="D42" s="68"/>
    </row>
    <row r="43" spans="1:4" ht="79.2" customHeight="1" x14ac:dyDescent="0.3">
      <c r="A43" s="149" t="s">
        <v>39</v>
      </c>
      <c r="B43" s="150"/>
      <c r="C43" s="112"/>
    </row>
    <row r="44" spans="1:4" ht="79.2" customHeight="1" x14ac:dyDescent="0.3">
      <c r="A44" s="14">
        <v>22301</v>
      </c>
      <c r="B44" s="14" t="s">
        <v>225</v>
      </c>
      <c r="C44" s="50" t="s">
        <v>278</v>
      </c>
      <c r="D44" s="68"/>
    </row>
    <row r="45" spans="1:4" ht="79.2" customHeight="1" x14ac:dyDescent="0.3">
      <c r="A45" s="149" t="s">
        <v>39</v>
      </c>
      <c r="B45" s="150"/>
      <c r="C45" s="112"/>
    </row>
    <row r="46" spans="1:4" ht="79.2" customHeight="1" x14ac:dyDescent="0.3">
      <c r="A46" s="14">
        <v>22301</v>
      </c>
      <c r="B46" s="14" t="s">
        <v>228</v>
      </c>
      <c r="C46" s="50" t="s">
        <v>280</v>
      </c>
      <c r="D46" s="68"/>
    </row>
    <row r="47" spans="1:4" ht="79.2" customHeight="1" x14ac:dyDescent="0.3">
      <c r="A47" s="149" t="s">
        <v>39</v>
      </c>
      <c r="B47" s="150"/>
      <c r="C47" s="112"/>
    </row>
    <row r="48" spans="1:4" ht="79.2" customHeight="1" x14ac:dyDescent="0.3">
      <c r="A48" s="14">
        <v>22301</v>
      </c>
      <c r="B48" s="14" t="s">
        <v>273</v>
      </c>
      <c r="C48" s="50" t="s">
        <v>282</v>
      </c>
      <c r="D48" s="68"/>
    </row>
    <row r="49" spans="1:4" ht="79.2" customHeight="1" x14ac:dyDescent="0.3">
      <c r="A49" s="149" t="s">
        <v>39</v>
      </c>
      <c r="B49" s="150"/>
      <c r="C49" s="112"/>
    </row>
    <row r="50" spans="1:4" ht="79.2" customHeight="1" x14ac:dyDescent="0.3">
      <c r="A50" s="14">
        <v>22301</v>
      </c>
      <c r="B50" s="14" t="s">
        <v>230</v>
      </c>
      <c r="C50" s="50" t="s">
        <v>286</v>
      </c>
      <c r="D50" s="68"/>
    </row>
    <row r="51" spans="1:4" ht="79.2" customHeight="1" x14ac:dyDescent="0.3">
      <c r="A51" s="149" t="s">
        <v>39</v>
      </c>
      <c r="B51" s="150"/>
      <c r="C51" s="112"/>
    </row>
    <row r="52" spans="1:4" ht="79.2" customHeight="1" x14ac:dyDescent="0.3">
      <c r="A52" s="14">
        <v>22301</v>
      </c>
      <c r="B52" s="14" t="s">
        <v>233</v>
      </c>
      <c r="C52" s="50" t="s">
        <v>288</v>
      </c>
      <c r="D52" s="68"/>
    </row>
    <row r="53" spans="1:4" ht="79.2" customHeight="1" x14ac:dyDescent="0.3">
      <c r="A53" s="149" t="s">
        <v>39</v>
      </c>
      <c r="B53" s="150"/>
      <c r="C53" s="112"/>
    </row>
    <row r="54" spans="1:4" ht="79.2" customHeight="1" x14ac:dyDescent="0.3">
      <c r="A54" s="14">
        <v>22301</v>
      </c>
      <c r="B54" s="14" t="s">
        <v>236</v>
      </c>
      <c r="C54" s="50" t="s">
        <v>290</v>
      </c>
      <c r="D54" s="68"/>
    </row>
    <row r="55" spans="1:4" ht="79.2" customHeight="1" x14ac:dyDescent="0.3">
      <c r="A55" s="149" t="s">
        <v>39</v>
      </c>
      <c r="B55" s="150"/>
      <c r="C55" s="112"/>
    </row>
    <row r="56" spans="1:4" ht="79.2" customHeight="1" x14ac:dyDescent="0.3">
      <c r="A56" s="14">
        <v>22301</v>
      </c>
      <c r="B56" s="14" t="s">
        <v>284</v>
      </c>
      <c r="C56" s="50" t="s">
        <v>292</v>
      </c>
      <c r="D56" s="68"/>
    </row>
    <row r="57" spans="1:4" ht="79.2" customHeight="1" x14ac:dyDescent="0.3">
      <c r="A57" s="149" t="s">
        <v>39</v>
      </c>
      <c r="B57" s="150"/>
      <c r="C57" s="112"/>
    </row>
    <row r="58" spans="1:4" ht="79.2" customHeight="1" x14ac:dyDescent="0.3">
      <c r="A58" s="14">
        <v>22301</v>
      </c>
      <c r="B58" s="14" t="s">
        <v>285</v>
      </c>
      <c r="C58" s="50" t="s">
        <v>294</v>
      </c>
      <c r="D58" s="68"/>
    </row>
    <row r="59" spans="1:4" ht="79.2" customHeight="1" x14ac:dyDescent="0.3">
      <c r="A59" s="149" t="s">
        <v>39</v>
      </c>
      <c r="B59" s="150"/>
      <c r="C59" s="112"/>
    </row>
    <row r="60" spans="1:4" ht="79.2" customHeight="1" x14ac:dyDescent="0.3">
      <c r="A60" s="14">
        <v>22301</v>
      </c>
      <c r="B60" s="14" t="s">
        <v>97</v>
      </c>
      <c r="C60" s="50" t="s">
        <v>296</v>
      </c>
      <c r="D60" s="68"/>
    </row>
    <row r="61" spans="1:4" ht="79.2" customHeight="1" x14ac:dyDescent="0.3">
      <c r="A61" s="149" t="s">
        <v>39</v>
      </c>
      <c r="B61" s="150"/>
      <c r="C61" s="112"/>
    </row>
    <row r="62" spans="1:4" ht="79.2" customHeight="1" x14ac:dyDescent="0.3">
      <c r="A62" s="14">
        <v>22301</v>
      </c>
      <c r="B62" s="14" t="s">
        <v>98</v>
      </c>
      <c r="C62" s="50" t="s">
        <v>298</v>
      </c>
      <c r="D62" s="68"/>
    </row>
    <row r="63" spans="1:4" ht="79.2" customHeight="1" x14ac:dyDescent="0.3">
      <c r="A63" s="149" t="s">
        <v>39</v>
      </c>
      <c r="B63" s="150"/>
      <c r="C63" s="112"/>
    </row>
    <row r="64" spans="1:4" ht="79.2" customHeight="1" x14ac:dyDescent="0.3">
      <c r="A64" s="14">
        <v>42001</v>
      </c>
      <c r="B64" s="14" t="s">
        <v>94</v>
      </c>
      <c r="C64" s="50" t="s">
        <v>259</v>
      </c>
      <c r="D64" s="68"/>
    </row>
    <row r="65" spans="1:4" ht="110.6" customHeight="1" x14ac:dyDescent="0.3">
      <c r="A65" s="14">
        <v>42001</v>
      </c>
      <c r="B65" s="14" t="s">
        <v>95</v>
      </c>
      <c r="C65" s="50" t="s">
        <v>261</v>
      </c>
      <c r="D65" s="68"/>
    </row>
    <row r="66" spans="1:4" ht="79.2" customHeight="1" x14ac:dyDescent="0.3">
      <c r="A66" s="149" t="s">
        <v>39</v>
      </c>
      <c r="B66" s="150"/>
      <c r="C66" s="112"/>
    </row>
    <row r="67" spans="1:4" ht="101.1" customHeight="1" x14ac:dyDescent="0.3">
      <c r="A67" s="14">
        <v>42001</v>
      </c>
      <c r="B67" s="14" t="s">
        <v>265</v>
      </c>
      <c r="C67" s="50" t="s">
        <v>198</v>
      </c>
      <c r="D67" s="68"/>
    </row>
    <row r="68" spans="1:4" ht="79.2" customHeight="1" x14ac:dyDescent="0.3">
      <c r="A68" s="149" t="s">
        <v>39</v>
      </c>
      <c r="B68" s="150"/>
      <c r="C68" s="112"/>
    </row>
    <row r="69" spans="1:4" ht="79.2" customHeight="1" x14ac:dyDescent="0.3">
      <c r="A69" s="14" t="s">
        <v>201</v>
      </c>
      <c r="B69" s="14" t="s">
        <v>219</v>
      </c>
      <c r="C69" s="50" t="s">
        <v>220</v>
      </c>
      <c r="D69" s="68"/>
    </row>
    <row r="70" spans="1:4" ht="79.2" customHeight="1" x14ac:dyDescent="0.3">
      <c r="A70" s="149" t="s">
        <v>39</v>
      </c>
      <c r="B70" s="150"/>
      <c r="C70" s="112"/>
    </row>
    <row r="71" spans="1:4" ht="79.2" customHeight="1" x14ac:dyDescent="0.3">
      <c r="A71" s="14" t="s">
        <v>201</v>
      </c>
      <c r="B71" s="14" t="s">
        <v>222</v>
      </c>
      <c r="C71" s="50" t="s">
        <v>223</v>
      </c>
      <c r="D71" s="68"/>
    </row>
    <row r="72" spans="1:4" ht="79.2" customHeight="1" x14ac:dyDescent="0.3">
      <c r="A72" s="149" t="s">
        <v>39</v>
      </c>
      <c r="B72" s="150"/>
      <c r="C72" s="112"/>
    </row>
    <row r="73" spans="1:4" ht="79.2" customHeight="1" x14ac:dyDescent="0.3">
      <c r="A73" s="14" t="s">
        <v>201</v>
      </c>
      <c r="B73" s="14" t="s">
        <v>225</v>
      </c>
      <c r="C73" s="50" t="s">
        <v>227</v>
      </c>
      <c r="D73" s="68"/>
    </row>
    <row r="74" spans="1:4" ht="79.2" customHeight="1" x14ac:dyDescent="0.3">
      <c r="A74" s="149" t="s">
        <v>39</v>
      </c>
      <c r="B74" s="150"/>
      <c r="C74" s="112"/>
    </row>
    <row r="75" spans="1:4" ht="79.2" customHeight="1" x14ac:dyDescent="0.3">
      <c r="A75" s="14" t="s">
        <v>201</v>
      </c>
      <c r="B75" s="14" t="s">
        <v>230</v>
      </c>
      <c r="C75" s="50" t="s">
        <v>231</v>
      </c>
      <c r="D75" s="68"/>
    </row>
    <row r="76" spans="1:4" ht="79.2" customHeight="1" x14ac:dyDescent="0.3">
      <c r="A76" s="149" t="s">
        <v>39</v>
      </c>
      <c r="B76" s="150"/>
      <c r="C76" s="112"/>
    </row>
    <row r="77" spans="1:4" ht="79.2" customHeight="1" x14ac:dyDescent="0.3">
      <c r="A77" s="14" t="s">
        <v>201</v>
      </c>
      <c r="B77" s="14" t="s">
        <v>233</v>
      </c>
      <c r="C77" s="50" t="s">
        <v>234</v>
      </c>
      <c r="D77" s="68"/>
    </row>
    <row r="78" spans="1:4" ht="79.2" customHeight="1" x14ac:dyDescent="0.3">
      <c r="A78" s="149" t="s">
        <v>39</v>
      </c>
      <c r="B78" s="150"/>
      <c r="C78" s="112"/>
    </row>
    <row r="79" spans="1:4" ht="79.2" customHeight="1" x14ac:dyDescent="0.3">
      <c r="A79" s="14" t="s">
        <v>201</v>
      </c>
      <c r="B79" s="14" t="s">
        <v>236</v>
      </c>
      <c r="C79" s="50" t="s">
        <v>237</v>
      </c>
      <c r="D79" s="68"/>
    </row>
    <row r="80" spans="1:4" ht="79.2" customHeight="1" x14ac:dyDescent="0.3">
      <c r="A80" s="149" t="s">
        <v>39</v>
      </c>
      <c r="B80" s="150"/>
      <c r="C80" s="112"/>
    </row>
    <row r="81" spans="1:4" ht="79.2" customHeight="1" x14ac:dyDescent="0.3">
      <c r="A81" s="14" t="s">
        <v>201</v>
      </c>
      <c r="B81" s="14" t="s">
        <v>165</v>
      </c>
      <c r="C81" s="50" t="s">
        <v>239</v>
      </c>
      <c r="D81" s="68"/>
    </row>
    <row r="82" spans="1:4" ht="79.2" customHeight="1" x14ac:dyDescent="0.3">
      <c r="A82" s="149" t="s">
        <v>39</v>
      </c>
      <c r="B82" s="150"/>
      <c r="C82" s="112"/>
    </row>
    <row r="83" spans="1:4" ht="97.95" customHeight="1" x14ac:dyDescent="0.3">
      <c r="A83" s="14">
        <v>9001</v>
      </c>
      <c r="B83" s="14" t="s">
        <v>165</v>
      </c>
      <c r="C83" s="50" t="s">
        <v>172</v>
      </c>
      <c r="D83" s="68"/>
    </row>
    <row r="84" spans="1:4" ht="79.2" customHeight="1" x14ac:dyDescent="0.3">
      <c r="A84" s="149" t="s">
        <v>39</v>
      </c>
      <c r="B84" s="150"/>
      <c r="C84" s="112"/>
    </row>
    <row r="85" spans="1:4" ht="62.65" customHeight="1" x14ac:dyDescent="0.3">
      <c r="A85" s="14" t="s">
        <v>402</v>
      </c>
      <c r="B85" s="14" t="s">
        <v>403</v>
      </c>
      <c r="C85" s="50" t="s">
        <v>166</v>
      </c>
      <c r="D85" s="68"/>
    </row>
    <row r="86" spans="1:4" ht="79.2" customHeight="1" x14ac:dyDescent="0.3">
      <c r="A86" s="149" t="s">
        <v>39</v>
      </c>
      <c r="B86" s="150"/>
      <c r="C86" s="112"/>
    </row>
    <row r="87" spans="1:4" ht="53.15" customHeight="1" x14ac:dyDescent="0.3">
      <c r="A87" s="14">
        <v>9001</v>
      </c>
      <c r="B87" s="14" t="s">
        <v>167</v>
      </c>
      <c r="C87" s="50" t="s">
        <v>154</v>
      </c>
      <c r="D87" s="68"/>
    </row>
    <row r="88" spans="1:4" ht="79.2" customHeight="1" x14ac:dyDescent="0.3">
      <c r="A88" s="149" t="s">
        <v>39</v>
      </c>
      <c r="B88" s="150"/>
      <c r="C88" s="112"/>
    </row>
    <row r="89" spans="1:4" ht="53.15" customHeight="1" x14ac:dyDescent="0.3">
      <c r="A89" s="14">
        <v>9001</v>
      </c>
      <c r="B89" s="14" t="s">
        <v>168</v>
      </c>
      <c r="C89" s="50" t="s">
        <v>170</v>
      </c>
      <c r="D89" s="68"/>
    </row>
    <row r="90" spans="1:4" ht="79.2" customHeight="1" x14ac:dyDescent="0.3">
      <c r="A90" s="149" t="s">
        <v>39</v>
      </c>
      <c r="B90" s="150"/>
      <c r="C90" s="112"/>
    </row>
    <row r="91" spans="1:4" ht="53.15" customHeight="1" x14ac:dyDescent="0.3">
      <c r="A91" s="14">
        <v>9001</v>
      </c>
      <c r="B91" s="14" t="s">
        <v>169</v>
      </c>
      <c r="C91" s="50" t="s">
        <v>155</v>
      </c>
      <c r="D91" s="68"/>
    </row>
    <row r="92" spans="1:4" ht="79.2" customHeight="1" x14ac:dyDescent="0.3">
      <c r="A92" s="149" t="s">
        <v>39</v>
      </c>
      <c r="B92" s="150"/>
      <c r="C92" s="112"/>
    </row>
    <row r="93" spans="1:4" ht="53.15" customHeight="1" x14ac:dyDescent="0.3">
      <c r="A93" s="14">
        <v>9001</v>
      </c>
      <c r="B93" s="14" t="s">
        <v>404</v>
      </c>
      <c r="C93" s="50" t="s">
        <v>405</v>
      </c>
      <c r="D93" s="68"/>
    </row>
    <row r="94" spans="1:4" ht="79.2" customHeight="1" x14ac:dyDescent="0.3">
      <c r="A94" s="149" t="s">
        <v>39</v>
      </c>
      <c r="B94" s="150"/>
      <c r="C94" s="112"/>
    </row>
    <row r="95" spans="1:4" ht="53.15" customHeight="1" x14ac:dyDescent="0.3">
      <c r="A95" s="14">
        <v>9001</v>
      </c>
      <c r="B95" s="14" t="s">
        <v>98</v>
      </c>
      <c r="C95" s="50" t="s">
        <v>156</v>
      </c>
      <c r="D95" s="68"/>
    </row>
    <row r="96" spans="1:4" ht="79.2" customHeight="1" x14ac:dyDescent="0.3">
      <c r="A96" s="149" t="s">
        <v>39</v>
      </c>
      <c r="B96" s="150"/>
      <c r="C96" s="112"/>
    </row>
    <row r="97" spans="1:4" ht="53.15" customHeight="1" x14ac:dyDescent="0.3">
      <c r="A97" s="14" t="s">
        <v>201</v>
      </c>
      <c r="B97" s="14" t="s">
        <v>242</v>
      </c>
      <c r="C97" s="50" t="s">
        <v>241</v>
      </c>
      <c r="D97" s="68"/>
    </row>
    <row r="98" spans="1:4" ht="79.2" customHeight="1" x14ac:dyDescent="0.3">
      <c r="A98" s="149" t="s">
        <v>39</v>
      </c>
      <c r="B98" s="150"/>
      <c r="C98" s="112"/>
    </row>
    <row r="99" spans="1:4" ht="53.15" customHeight="1" x14ac:dyDescent="0.3">
      <c r="A99" s="14" t="s">
        <v>201</v>
      </c>
      <c r="B99" s="14" t="s">
        <v>244</v>
      </c>
      <c r="C99" s="50" t="s">
        <v>246</v>
      </c>
      <c r="D99" s="68"/>
    </row>
    <row r="100" spans="1:4" ht="53.15" customHeight="1" x14ac:dyDescent="0.3">
      <c r="A100" s="14" t="s">
        <v>201</v>
      </c>
      <c r="B100" s="14" t="s">
        <v>247</v>
      </c>
      <c r="C100" s="50" t="s">
        <v>248</v>
      </c>
      <c r="D100" s="68"/>
    </row>
    <row r="101" spans="1:4" ht="53.15" customHeight="1" x14ac:dyDescent="0.3">
      <c r="A101" s="14" t="s">
        <v>201</v>
      </c>
      <c r="B101" s="14" t="s">
        <v>250</v>
      </c>
      <c r="C101" s="50" t="s">
        <v>251</v>
      </c>
      <c r="D101" s="68"/>
    </row>
    <row r="102" spans="1:4" ht="53.15" customHeight="1" x14ac:dyDescent="0.3">
      <c r="A102" s="14" t="s">
        <v>201</v>
      </c>
      <c r="B102" s="14" t="s">
        <v>253</v>
      </c>
      <c r="C102" s="50" t="s">
        <v>254</v>
      </c>
      <c r="D102" s="68"/>
    </row>
    <row r="103" spans="1:4" ht="53.15" customHeight="1" x14ac:dyDescent="0.3">
      <c r="A103" s="14" t="s">
        <v>201</v>
      </c>
      <c r="B103" s="14" t="s">
        <v>256</v>
      </c>
      <c r="C103" s="50" t="s">
        <v>257</v>
      </c>
      <c r="D103" s="68"/>
    </row>
    <row r="104" spans="1:4" ht="79.2" customHeight="1" x14ac:dyDescent="0.3">
      <c r="A104" s="149" t="s">
        <v>39</v>
      </c>
      <c r="B104" s="150"/>
      <c r="C104" s="112"/>
    </row>
    <row r="105" spans="1:4" ht="53.15" customHeight="1" x14ac:dyDescent="0.3">
      <c r="A105" s="14">
        <v>9001</v>
      </c>
      <c r="B105" s="14" t="s">
        <v>99</v>
      </c>
      <c r="C105" s="50" t="s">
        <v>174</v>
      </c>
      <c r="D105" s="68"/>
    </row>
    <row r="106" spans="1:4" ht="79.2" customHeight="1" x14ac:dyDescent="0.3">
      <c r="A106" s="149" t="s">
        <v>39</v>
      </c>
      <c r="B106" s="150"/>
      <c r="C106" s="112"/>
    </row>
    <row r="107" spans="1:4" ht="53.15" customHeight="1" x14ac:dyDescent="0.3">
      <c r="A107" s="14" t="s">
        <v>307</v>
      </c>
      <c r="B107" s="14" t="s">
        <v>94</v>
      </c>
      <c r="C107" s="50" t="s">
        <v>163</v>
      </c>
      <c r="D107" s="68"/>
    </row>
    <row r="108" spans="1:4" ht="79.2" customHeight="1" x14ac:dyDescent="0.3">
      <c r="A108" s="149" t="s">
        <v>39</v>
      </c>
      <c r="B108" s="150"/>
      <c r="C108" s="112"/>
    </row>
    <row r="109" spans="1:4" ht="53.15" customHeight="1" x14ac:dyDescent="0.3">
      <c r="A109" s="14">
        <v>37001</v>
      </c>
      <c r="B109" s="14" t="s">
        <v>94</v>
      </c>
      <c r="C109" s="50" t="s">
        <v>177</v>
      </c>
      <c r="D109" s="68"/>
    </row>
    <row r="110" spans="1:4" ht="53.15" customHeight="1" x14ac:dyDescent="0.3">
      <c r="A110" s="14">
        <v>37001</v>
      </c>
      <c r="B110" s="14" t="s">
        <v>95</v>
      </c>
      <c r="C110" s="50" t="s">
        <v>178</v>
      </c>
      <c r="D110" s="68"/>
    </row>
    <row r="111" spans="1:4" ht="81.099999999999994" customHeight="1" x14ac:dyDescent="0.3">
      <c r="A111" s="14">
        <v>37001</v>
      </c>
      <c r="B111" s="14" t="s">
        <v>96</v>
      </c>
      <c r="C111" s="50" t="s">
        <v>179</v>
      </c>
      <c r="D111" s="68"/>
    </row>
    <row r="112" spans="1:4" ht="93.05" customHeight="1" x14ac:dyDescent="0.3">
      <c r="A112" s="14">
        <v>37001</v>
      </c>
      <c r="B112" s="14" t="s">
        <v>97</v>
      </c>
      <c r="C112" s="50" t="s">
        <v>183</v>
      </c>
      <c r="D112" s="68"/>
    </row>
    <row r="113" spans="1:5" ht="53.15" customHeight="1" x14ac:dyDescent="0.3">
      <c r="A113" s="14">
        <v>37001</v>
      </c>
      <c r="B113" s="14" t="s">
        <v>98</v>
      </c>
      <c r="C113" s="50" t="s">
        <v>100</v>
      </c>
      <c r="D113" s="68"/>
    </row>
    <row r="114" spans="1:5" ht="53.15" customHeight="1" x14ac:dyDescent="0.3">
      <c r="A114" s="14">
        <v>37001</v>
      </c>
      <c r="B114" s="14" t="s">
        <v>99</v>
      </c>
      <c r="C114" s="50" t="s">
        <v>101</v>
      </c>
      <c r="D114" s="68"/>
    </row>
    <row r="115" spans="1:5" ht="65.95" customHeight="1" x14ac:dyDescent="0.3">
      <c r="A115" s="14">
        <v>37001</v>
      </c>
      <c r="B115" s="14" t="s">
        <v>102</v>
      </c>
      <c r="C115" s="50" t="s">
        <v>103</v>
      </c>
      <c r="D115" s="68"/>
    </row>
    <row r="116" spans="1:5" ht="79.2" customHeight="1" x14ac:dyDescent="0.3">
      <c r="A116" s="149" t="s">
        <v>39</v>
      </c>
      <c r="B116" s="150"/>
      <c r="C116" s="112"/>
    </row>
    <row r="117" spans="1:5" ht="53.15" customHeight="1" x14ac:dyDescent="0.3">
      <c r="A117" s="14" t="s">
        <v>304</v>
      </c>
      <c r="B117" s="14" t="s">
        <v>194</v>
      </c>
      <c r="C117" s="50" t="s">
        <v>187</v>
      </c>
      <c r="D117" s="68"/>
    </row>
    <row r="118" spans="1:5" ht="84.7" customHeight="1" x14ac:dyDescent="0.3">
      <c r="A118" s="14" t="s">
        <v>304</v>
      </c>
      <c r="B118" s="14" t="s">
        <v>195</v>
      </c>
      <c r="C118" s="50" t="s">
        <v>190</v>
      </c>
      <c r="D118" s="68"/>
    </row>
    <row r="119" spans="1:5" ht="79.2" customHeight="1" x14ac:dyDescent="0.3">
      <c r="A119" s="149" t="s">
        <v>39</v>
      </c>
      <c r="B119" s="150"/>
      <c r="C119" s="112"/>
    </row>
    <row r="122" spans="1:5" ht="15" thickBot="1" x14ac:dyDescent="0.35">
      <c r="D122" s="7" t="s">
        <v>2</v>
      </c>
      <c r="E122" s="8" t="s">
        <v>30</v>
      </c>
    </row>
    <row r="123" spans="1:5" x14ac:dyDescent="0.3">
      <c r="D123" s="61"/>
      <c r="E123" s="61"/>
    </row>
    <row r="124" spans="1:5" x14ac:dyDescent="0.3">
      <c r="D124" s="58"/>
      <c r="E124" s="58"/>
    </row>
    <row r="125" spans="1:5" x14ac:dyDescent="0.3">
      <c r="D125" s="58"/>
      <c r="E125" s="58"/>
    </row>
    <row r="126" spans="1:5" x14ac:dyDescent="0.3">
      <c r="D126" s="58"/>
      <c r="E126" s="58"/>
    </row>
    <row r="127" spans="1:5" x14ac:dyDescent="0.3">
      <c r="D127" s="58"/>
      <c r="E127" s="58"/>
    </row>
    <row r="128" spans="1:5" x14ac:dyDescent="0.3">
      <c r="D128" s="58"/>
      <c r="E128" s="58"/>
    </row>
    <row r="129" spans="4:5" x14ac:dyDescent="0.3">
      <c r="D129" s="64"/>
      <c r="E129" s="64"/>
    </row>
  </sheetData>
  <sheetProtection formatCells="0" formatColumns="0" formatRows="0"/>
  <mergeCells count="53">
    <mergeCell ref="A13:B13"/>
    <mergeCell ref="A15:B15"/>
    <mergeCell ref="A17:B17"/>
    <mergeCell ref="A3:B3"/>
    <mergeCell ref="A5:B5"/>
    <mergeCell ref="A7:B7"/>
    <mergeCell ref="A9:B9"/>
    <mergeCell ref="A11:B11"/>
    <mergeCell ref="A19:B19"/>
    <mergeCell ref="A21:B21"/>
    <mergeCell ref="A23:B23"/>
    <mergeCell ref="A25:B25"/>
    <mergeCell ref="A29:B29"/>
    <mergeCell ref="A27:B27"/>
    <mergeCell ref="A31:B31"/>
    <mergeCell ref="A35:B35"/>
    <mergeCell ref="A37:B37"/>
    <mergeCell ref="A39:B39"/>
    <mergeCell ref="A41:B41"/>
    <mergeCell ref="A33:B33"/>
    <mergeCell ref="A43:B43"/>
    <mergeCell ref="A45:B45"/>
    <mergeCell ref="A47:B47"/>
    <mergeCell ref="A49:B49"/>
    <mergeCell ref="A51:B51"/>
    <mergeCell ref="A53:B53"/>
    <mergeCell ref="A55:B55"/>
    <mergeCell ref="A57:B57"/>
    <mergeCell ref="A59:B59"/>
    <mergeCell ref="A61:B61"/>
    <mergeCell ref="A63:B63"/>
    <mergeCell ref="A66:B66"/>
    <mergeCell ref="A68:B68"/>
    <mergeCell ref="A70:B70"/>
    <mergeCell ref="A72:B72"/>
    <mergeCell ref="A74:B74"/>
    <mergeCell ref="A76:B76"/>
    <mergeCell ref="A78:B78"/>
    <mergeCell ref="A80:B80"/>
    <mergeCell ref="A82:B82"/>
    <mergeCell ref="A84:B84"/>
    <mergeCell ref="A86:B86"/>
    <mergeCell ref="A88:B88"/>
    <mergeCell ref="A90:B90"/>
    <mergeCell ref="A92:B92"/>
    <mergeCell ref="A108:B108"/>
    <mergeCell ref="A116:B116"/>
    <mergeCell ref="A119:B119"/>
    <mergeCell ref="A94:B94"/>
    <mergeCell ref="A96:B96"/>
    <mergeCell ref="A98:B98"/>
    <mergeCell ref="A104:B104"/>
    <mergeCell ref="A106:B106"/>
  </mergeCells>
  <dataValidations count="1">
    <dataValidation type="list" allowBlank="1" showInputMessage="1" showErrorMessage="1" sqref="E123:E129" xr:uid="{7FE14A83-7A2B-42A1-8B64-49109D4DAA1F}">
      <formula1>"NCMin, NCMagg, Oss"</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5FAB-E75D-4EAD-AF74-AA4501C0219F}">
  <sheetPr codeName="Foglio6"/>
  <dimension ref="B2:H94"/>
  <sheetViews>
    <sheetView topLeftCell="A83" zoomScale="70" zoomScaleNormal="70" workbookViewId="0">
      <selection activeCell="H90" sqref="E90:H91"/>
    </sheetView>
  </sheetViews>
  <sheetFormatPr defaultRowHeight="14.4" x14ac:dyDescent="0.3"/>
  <cols>
    <col min="3" max="3" width="10.69921875" customWidth="1"/>
    <col min="5" max="5" width="20.69921875" customWidth="1"/>
    <col min="6" max="6" width="76.59765625" customWidth="1"/>
    <col min="7" max="7" width="19.296875" customWidth="1"/>
    <col min="10" max="10" width="67.59765625" customWidth="1"/>
    <col min="14" max="14" width="61.59765625" customWidth="1"/>
    <col min="18" max="18" width="0" hidden="1" customWidth="1"/>
  </cols>
  <sheetData>
    <row r="2" spans="2:7" ht="15" thickBot="1" x14ac:dyDescent="0.35"/>
    <row r="3" spans="2:7" s="30" customFormat="1" ht="43.8" thickBot="1" x14ac:dyDescent="0.35">
      <c r="B3" s="81" t="s">
        <v>2</v>
      </c>
      <c r="C3" s="82" t="s">
        <v>3</v>
      </c>
      <c r="D3" s="152" t="s">
        <v>377</v>
      </c>
      <c r="E3" s="152"/>
      <c r="F3" s="152"/>
      <c r="G3" s="83" t="s">
        <v>346</v>
      </c>
    </row>
    <row r="4" spans="2:7" s="80" customFormat="1" ht="38.049999999999997" x14ac:dyDescent="0.3">
      <c r="B4" s="168" t="s">
        <v>369</v>
      </c>
      <c r="C4" s="171" t="s">
        <v>363</v>
      </c>
      <c r="D4" s="151" t="s">
        <v>345</v>
      </c>
      <c r="E4" s="151"/>
      <c r="F4" s="93" t="s">
        <v>365</v>
      </c>
      <c r="G4" s="89" t="s">
        <v>352</v>
      </c>
    </row>
    <row r="5" spans="2:7" s="80" customFormat="1" ht="38.049999999999997" x14ac:dyDescent="0.3">
      <c r="B5" s="169"/>
      <c r="C5" s="160"/>
      <c r="D5" s="151" t="s">
        <v>364</v>
      </c>
      <c r="E5" s="151"/>
      <c r="F5" s="93" t="s">
        <v>368</v>
      </c>
      <c r="G5" s="89"/>
    </row>
    <row r="6" spans="2:7" ht="50.7" x14ac:dyDescent="0.3">
      <c r="B6" s="169"/>
      <c r="C6" s="160"/>
      <c r="D6" s="151" t="s">
        <v>366</v>
      </c>
      <c r="E6" s="151"/>
      <c r="F6" s="93" t="s">
        <v>367</v>
      </c>
      <c r="G6" s="87" t="s">
        <v>351</v>
      </c>
    </row>
    <row r="7" spans="2:7" x14ac:dyDescent="0.3">
      <c r="B7" s="169"/>
      <c r="C7" s="160"/>
      <c r="D7" s="151" t="s">
        <v>104</v>
      </c>
      <c r="E7" s="151"/>
      <c r="F7" s="93" t="s">
        <v>157</v>
      </c>
      <c r="G7" s="87" t="s">
        <v>351</v>
      </c>
    </row>
    <row r="8" spans="2:7" x14ac:dyDescent="0.3">
      <c r="B8" s="169"/>
      <c r="C8" s="160"/>
      <c r="D8" s="151" t="s">
        <v>105</v>
      </c>
      <c r="E8" s="151"/>
      <c r="F8" s="58"/>
      <c r="G8" s="87" t="s">
        <v>351</v>
      </c>
    </row>
    <row r="9" spans="2:7" ht="43.8" thickBot="1" x14ac:dyDescent="0.35">
      <c r="B9" s="170"/>
      <c r="C9" s="172"/>
      <c r="D9" s="173" t="s">
        <v>106</v>
      </c>
      <c r="E9" s="173"/>
      <c r="F9" s="86" t="s">
        <v>350</v>
      </c>
      <c r="G9" s="88" t="s">
        <v>351</v>
      </c>
    </row>
    <row r="10" spans="2:7" x14ac:dyDescent="0.3">
      <c r="B10" s="171" t="s">
        <v>357</v>
      </c>
      <c r="C10" s="171" t="s">
        <v>358</v>
      </c>
      <c r="D10" s="174" t="s">
        <v>359</v>
      </c>
      <c r="E10" s="175"/>
      <c r="F10" s="153" t="s">
        <v>158</v>
      </c>
      <c r="G10" s="156" t="s">
        <v>351</v>
      </c>
    </row>
    <row r="11" spans="2:7" x14ac:dyDescent="0.3">
      <c r="B11" s="160"/>
      <c r="C11" s="160"/>
      <c r="D11" s="164"/>
      <c r="E11" s="165"/>
      <c r="F11" s="154"/>
      <c r="G11" s="157"/>
    </row>
    <row r="12" spans="2:7" x14ac:dyDescent="0.3">
      <c r="B12" s="160"/>
      <c r="C12" s="160"/>
      <c r="D12" s="164"/>
      <c r="E12" s="165"/>
      <c r="F12" s="154"/>
      <c r="G12" s="157"/>
    </row>
    <row r="13" spans="2:7" x14ac:dyDescent="0.3">
      <c r="B13" s="161"/>
      <c r="C13" s="161"/>
      <c r="D13" s="166"/>
      <c r="E13" s="167"/>
      <c r="F13" s="155"/>
      <c r="G13" s="158"/>
    </row>
    <row r="14" spans="2:7" x14ac:dyDescent="0.3">
      <c r="B14" s="159" t="s">
        <v>372</v>
      </c>
      <c r="C14" s="159" t="s">
        <v>374</v>
      </c>
      <c r="D14" s="162" t="s">
        <v>344</v>
      </c>
      <c r="E14" s="163"/>
      <c r="F14" s="176" t="s">
        <v>349</v>
      </c>
      <c r="G14" s="179"/>
    </row>
    <row r="15" spans="2:7" x14ac:dyDescent="0.3">
      <c r="B15" s="160"/>
      <c r="C15" s="160"/>
      <c r="D15" s="164"/>
      <c r="E15" s="165"/>
      <c r="F15" s="177"/>
      <c r="G15" s="157"/>
    </row>
    <row r="16" spans="2:7" x14ac:dyDescent="0.3">
      <c r="B16" s="160"/>
      <c r="C16" s="160"/>
      <c r="D16" s="164"/>
      <c r="E16" s="165"/>
      <c r="F16" s="177"/>
      <c r="G16" s="157"/>
    </row>
    <row r="17" spans="2:7" x14ac:dyDescent="0.3">
      <c r="B17" s="161"/>
      <c r="C17" s="161"/>
      <c r="D17" s="166"/>
      <c r="E17" s="167"/>
      <c r="F17" s="178"/>
      <c r="G17" s="158"/>
    </row>
    <row r="18" spans="2:7" ht="63.4" x14ac:dyDescent="0.3">
      <c r="B18" s="14">
        <v>37301</v>
      </c>
      <c r="C18" s="14" t="s">
        <v>94</v>
      </c>
      <c r="D18" s="151" t="s">
        <v>193</v>
      </c>
      <c r="E18" s="151"/>
      <c r="F18" s="93" t="s">
        <v>192</v>
      </c>
      <c r="G18" s="68"/>
    </row>
    <row r="19" spans="2:7" ht="76.05" x14ac:dyDescent="0.3">
      <c r="B19" s="14" t="s">
        <v>201</v>
      </c>
      <c r="C19" s="14" t="s">
        <v>94</v>
      </c>
      <c r="D19" s="151" t="s">
        <v>259</v>
      </c>
      <c r="E19" s="151"/>
      <c r="F19" s="93" t="s">
        <v>260</v>
      </c>
      <c r="G19" s="68"/>
    </row>
    <row r="20" spans="2:7" ht="228.1" x14ac:dyDescent="0.3">
      <c r="B20" s="14" t="s">
        <v>201</v>
      </c>
      <c r="C20" s="14" t="s">
        <v>94</v>
      </c>
      <c r="D20" s="151" t="s">
        <v>202</v>
      </c>
      <c r="E20" s="151"/>
      <c r="F20" s="93" t="s">
        <v>203</v>
      </c>
      <c r="G20" s="68"/>
    </row>
    <row r="21" spans="2:7" ht="190.1" x14ac:dyDescent="0.3">
      <c r="B21" s="14" t="s">
        <v>201</v>
      </c>
      <c r="C21" s="14" t="s">
        <v>204</v>
      </c>
      <c r="D21" s="151" t="s">
        <v>205</v>
      </c>
      <c r="E21" s="151"/>
      <c r="F21" s="93" t="s">
        <v>209</v>
      </c>
      <c r="G21" s="68"/>
    </row>
    <row r="22" spans="2:7" ht="190.1" x14ac:dyDescent="0.3">
      <c r="B22" s="14" t="s">
        <v>201</v>
      </c>
      <c r="C22" s="14" t="s">
        <v>207</v>
      </c>
      <c r="D22" s="151" t="s">
        <v>206</v>
      </c>
      <c r="E22" s="151"/>
      <c r="F22" s="93" t="s">
        <v>208</v>
      </c>
      <c r="G22" s="68"/>
    </row>
    <row r="23" spans="2:7" ht="177.45" x14ac:dyDescent="0.3">
      <c r="B23" s="14" t="s">
        <v>201</v>
      </c>
      <c r="C23" s="14" t="s">
        <v>211</v>
      </c>
      <c r="D23" s="151" t="s">
        <v>210</v>
      </c>
      <c r="E23" s="151"/>
      <c r="F23" s="93" t="s">
        <v>212</v>
      </c>
      <c r="G23" s="68"/>
    </row>
    <row r="24" spans="2:7" ht="190.1" x14ac:dyDescent="0.3">
      <c r="B24" s="14" t="s">
        <v>201</v>
      </c>
      <c r="C24" s="14" t="s">
        <v>213</v>
      </c>
      <c r="D24" s="151" t="s">
        <v>214</v>
      </c>
      <c r="E24" s="151"/>
      <c r="F24" s="93" t="s">
        <v>215</v>
      </c>
      <c r="G24" s="68"/>
    </row>
    <row r="25" spans="2:7" ht="190.1" x14ac:dyDescent="0.3">
      <c r="B25" s="14" t="s">
        <v>201</v>
      </c>
      <c r="C25" s="14" t="s">
        <v>216</v>
      </c>
      <c r="D25" s="151" t="s">
        <v>218</v>
      </c>
      <c r="E25" s="151"/>
      <c r="F25" s="93" t="s">
        <v>217</v>
      </c>
      <c r="G25" s="68"/>
    </row>
    <row r="26" spans="2:7" ht="139.4" x14ac:dyDescent="0.3">
      <c r="B26" s="14">
        <v>50001</v>
      </c>
      <c r="C26" s="14" t="s">
        <v>94</v>
      </c>
      <c r="D26" s="151" t="s">
        <v>300</v>
      </c>
      <c r="E26" s="151"/>
      <c r="F26" s="93" t="s">
        <v>301</v>
      </c>
      <c r="G26" s="68"/>
    </row>
    <row r="27" spans="2:7" ht="139.4" x14ac:dyDescent="0.3">
      <c r="B27" s="14" t="s">
        <v>373</v>
      </c>
      <c r="C27" s="14" t="s">
        <v>375</v>
      </c>
      <c r="D27" s="151" t="s">
        <v>302</v>
      </c>
      <c r="E27" s="151"/>
      <c r="F27" s="93" t="s">
        <v>370</v>
      </c>
      <c r="G27" s="68"/>
    </row>
    <row r="28" spans="2:7" ht="215.45" x14ac:dyDescent="0.3">
      <c r="B28" s="14" t="s">
        <v>373</v>
      </c>
      <c r="C28" s="14" t="s">
        <v>376</v>
      </c>
      <c r="D28" s="151" t="s">
        <v>303</v>
      </c>
      <c r="E28" s="151"/>
      <c r="F28" s="93" t="s">
        <v>371</v>
      </c>
      <c r="G28" s="68"/>
    </row>
    <row r="29" spans="2:7" ht="25.35" x14ac:dyDescent="0.3">
      <c r="B29" s="14">
        <v>22301</v>
      </c>
      <c r="C29" s="14" t="s">
        <v>268</v>
      </c>
      <c r="D29" s="151" t="s">
        <v>266</v>
      </c>
      <c r="E29" s="151"/>
      <c r="F29" s="93" t="s">
        <v>267</v>
      </c>
      <c r="G29" s="68"/>
    </row>
    <row r="30" spans="2:7" ht="50.7" x14ac:dyDescent="0.3">
      <c r="B30" s="14">
        <v>22301</v>
      </c>
      <c r="C30" s="14" t="s">
        <v>204</v>
      </c>
      <c r="D30" s="151" t="s">
        <v>269</v>
      </c>
      <c r="E30" s="151"/>
      <c r="F30" s="93" t="s">
        <v>270</v>
      </c>
      <c r="G30" s="68"/>
    </row>
    <row r="31" spans="2:7" ht="50.7" x14ac:dyDescent="0.3">
      <c r="B31" s="14">
        <v>22301</v>
      </c>
      <c r="C31" s="14" t="s">
        <v>207</v>
      </c>
      <c r="D31" s="151" t="s">
        <v>271</v>
      </c>
      <c r="E31" s="151"/>
      <c r="F31" s="93" t="s">
        <v>272</v>
      </c>
      <c r="G31" s="68"/>
    </row>
    <row r="32" spans="2:7" ht="25.35" x14ac:dyDescent="0.3">
      <c r="B32" s="14">
        <v>22301</v>
      </c>
      <c r="C32" s="14" t="s">
        <v>219</v>
      </c>
      <c r="D32" s="151" t="s">
        <v>274</v>
      </c>
      <c r="E32" s="151"/>
      <c r="F32" s="93" t="s">
        <v>275</v>
      </c>
      <c r="G32" s="68"/>
    </row>
    <row r="33" spans="2:7" ht="25.35" x14ac:dyDescent="0.3">
      <c r="B33" s="14">
        <v>22301</v>
      </c>
      <c r="C33" s="14" t="s">
        <v>222</v>
      </c>
      <c r="D33" s="151" t="s">
        <v>276</v>
      </c>
      <c r="E33" s="151"/>
      <c r="F33" s="93" t="s">
        <v>277</v>
      </c>
      <c r="G33" s="68"/>
    </row>
    <row r="34" spans="2:7" ht="25.35" x14ac:dyDescent="0.3">
      <c r="B34" s="14">
        <v>22301</v>
      </c>
      <c r="C34" s="14" t="s">
        <v>225</v>
      </c>
      <c r="D34" s="151" t="s">
        <v>278</v>
      </c>
      <c r="E34" s="151"/>
      <c r="F34" s="93" t="s">
        <v>279</v>
      </c>
      <c r="G34" s="68"/>
    </row>
    <row r="35" spans="2:7" ht="25.35" x14ac:dyDescent="0.3">
      <c r="B35" s="14">
        <v>22301</v>
      </c>
      <c r="C35" s="14" t="s">
        <v>228</v>
      </c>
      <c r="D35" s="151" t="s">
        <v>280</v>
      </c>
      <c r="E35" s="151"/>
      <c r="F35" s="93" t="s">
        <v>281</v>
      </c>
      <c r="G35" s="68"/>
    </row>
    <row r="36" spans="2:7" ht="38.049999999999997" x14ac:dyDescent="0.3">
      <c r="B36" s="14">
        <v>22301</v>
      </c>
      <c r="C36" s="14" t="s">
        <v>273</v>
      </c>
      <c r="D36" s="151" t="s">
        <v>282</v>
      </c>
      <c r="E36" s="151"/>
      <c r="F36" s="93" t="s">
        <v>283</v>
      </c>
      <c r="G36" s="68"/>
    </row>
    <row r="37" spans="2:7" ht="25.35" x14ac:dyDescent="0.3">
      <c r="B37" s="14">
        <v>22301</v>
      </c>
      <c r="C37" s="14" t="s">
        <v>230</v>
      </c>
      <c r="D37" s="151" t="s">
        <v>286</v>
      </c>
      <c r="E37" s="151"/>
      <c r="F37" s="93" t="s">
        <v>287</v>
      </c>
      <c r="G37" s="68"/>
    </row>
    <row r="38" spans="2:7" ht="25.35" x14ac:dyDescent="0.3">
      <c r="B38" s="14">
        <v>22301</v>
      </c>
      <c r="C38" s="14" t="s">
        <v>233</v>
      </c>
      <c r="D38" s="151" t="s">
        <v>288</v>
      </c>
      <c r="E38" s="151"/>
      <c r="F38" s="93" t="s">
        <v>289</v>
      </c>
      <c r="G38" s="68"/>
    </row>
    <row r="39" spans="2:7" ht="25.35" x14ac:dyDescent="0.3">
      <c r="B39" s="14">
        <v>22301</v>
      </c>
      <c r="C39" s="14" t="s">
        <v>236</v>
      </c>
      <c r="D39" s="151" t="s">
        <v>290</v>
      </c>
      <c r="E39" s="151"/>
      <c r="F39" s="93" t="s">
        <v>291</v>
      </c>
      <c r="G39" s="68"/>
    </row>
    <row r="40" spans="2:7" ht="25.35" x14ac:dyDescent="0.3">
      <c r="B40" s="14">
        <v>22301</v>
      </c>
      <c r="C40" s="14" t="s">
        <v>284</v>
      </c>
      <c r="D40" s="151" t="s">
        <v>292</v>
      </c>
      <c r="E40" s="151"/>
      <c r="F40" s="93" t="s">
        <v>293</v>
      </c>
      <c r="G40" s="68"/>
    </row>
    <row r="41" spans="2:7" ht="25.35" x14ac:dyDescent="0.3">
      <c r="B41" s="14">
        <v>22301</v>
      </c>
      <c r="C41" s="14" t="s">
        <v>285</v>
      </c>
      <c r="D41" s="151" t="s">
        <v>294</v>
      </c>
      <c r="E41" s="151"/>
      <c r="F41" s="93" t="s">
        <v>295</v>
      </c>
      <c r="G41" s="68"/>
    </row>
    <row r="42" spans="2:7" ht="38.049999999999997" x14ac:dyDescent="0.3">
      <c r="B42" s="14">
        <v>22301</v>
      </c>
      <c r="C42" s="14" t="s">
        <v>97</v>
      </c>
      <c r="D42" s="151" t="s">
        <v>296</v>
      </c>
      <c r="E42" s="151"/>
      <c r="F42" s="93" t="s">
        <v>297</v>
      </c>
      <c r="G42" s="68"/>
    </row>
    <row r="43" spans="2:7" ht="38.049999999999997" x14ac:dyDescent="0.3">
      <c r="B43" s="14">
        <v>22301</v>
      </c>
      <c r="C43" s="14" t="s">
        <v>98</v>
      </c>
      <c r="D43" s="151" t="s">
        <v>298</v>
      </c>
      <c r="E43" s="151"/>
      <c r="F43" s="93" t="s">
        <v>299</v>
      </c>
      <c r="G43" s="68"/>
    </row>
    <row r="44" spans="2:7" ht="76.05" x14ac:dyDescent="0.3">
      <c r="B44" s="14">
        <v>42001</v>
      </c>
      <c r="C44" s="14" t="s">
        <v>94</v>
      </c>
      <c r="D44" s="151" t="s">
        <v>259</v>
      </c>
      <c r="E44" s="151"/>
      <c r="F44" s="93" t="s">
        <v>264</v>
      </c>
      <c r="G44" s="68"/>
    </row>
    <row r="45" spans="2:7" ht="76.05" x14ac:dyDescent="0.3">
      <c r="B45" s="14">
        <v>42001</v>
      </c>
      <c r="C45" s="14" t="s">
        <v>95</v>
      </c>
      <c r="D45" s="151" t="s">
        <v>261</v>
      </c>
      <c r="E45" s="151"/>
      <c r="F45" s="93" t="s">
        <v>262</v>
      </c>
      <c r="G45" s="68"/>
    </row>
    <row r="46" spans="2:7" ht="88.7" x14ac:dyDescent="0.3">
      <c r="B46" s="14">
        <v>42001</v>
      </c>
      <c r="C46" s="14" t="s">
        <v>265</v>
      </c>
      <c r="D46" s="151" t="s">
        <v>198</v>
      </c>
      <c r="E46" s="151"/>
      <c r="F46" s="93" t="s">
        <v>263</v>
      </c>
      <c r="G46" s="68"/>
    </row>
    <row r="47" spans="2:7" ht="25.35" x14ac:dyDescent="0.3">
      <c r="B47" s="14" t="s">
        <v>201</v>
      </c>
      <c r="C47" s="14" t="s">
        <v>219</v>
      </c>
      <c r="D47" s="151" t="s">
        <v>220</v>
      </c>
      <c r="E47" s="151"/>
      <c r="F47" s="93" t="s">
        <v>221</v>
      </c>
      <c r="G47" s="68"/>
    </row>
    <row r="48" spans="2:7" ht="25.35" x14ac:dyDescent="0.3">
      <c r="B48" s="14" t="s">
        <v>201</v>
      </c>
      <c r="C48" s="14" t="s">
        <v>222</v>
      </c>
      <c r="D48" s="151" t="s">
        <v>223</v>
      </c>
      <c r="E48" s="151"/>
      <c r="F48" s="93" t="s">
        <v>224</v>
      </c>
      <c r="G48" s="68"/>
    </row>
    <row r="49" spans="2:7" ht="25.35" x14ac:dyDescent="0.3">
      <c r="B49" s="14" t="s">
        <v>201</v>
      </c>
      <c r="C49" s="14" t="s">
        <v>225</v>
      </c>
      <c r="D49" s="151" t="s">
        <v>227</v>
      </c>
      <c r="E49" s="151"/>
      <c r="F49" s="93" t="s">
        <v>226</v>
      </c>
      <c r="G49" s="68"/>
    </row>
    <row r="50" spans="2:7" ht="25.35" x14ac:dyDescent="0.3">
      <c r="B50" s="14" t="s">
        <v>201</v>
      </c>
      <c r="C50" s="14" t="s">
        <v>230</v>
      </c>
      <c r="D50" s="151" t="s">
        <v>231</v>
      </c>
      <c r="E50" s="151"/>
      <c r="F50" s="93" t="s">
        <v>232</v>
      </c>
      <c r="G50" s="68"/>
    </row>
    <row r="51" spans="2:7" ht="25.35" x14ac:dyDescent="0.3">
      <c r="B51" s="14" t="s">
        <v>201</v>
      </c>
      <c r="C51" s="14" t="s">
        <v>233</v>
      </c>
      <c r="D51" s="151" t="s">
        <v>234</v>
      </c>
      <c r="E51" s="151"/>
      <c r="F51" s="93" t="s">
        <v>235</v>
      </c>
      <c r="G51" s="68"/>
    </row>
    <row r="52" spans="2:7" ht="25.35" x14ac:dyDescent="0.3">
      <c r="B52" s="14" t="s">
        <v>201</v>
      </c>
      <c r="C52" s="14" t="s">
        <v>236</v>
      </c>
      <c r="D52" s="151" t="s">
        <v>237</v>
      </c>
      <c r="E52" s="151"/>
      <c r="F52" s="93" t="s">
        <v>238</v>
      </c>
      <c r="G52" s="68"/>
    </row>
    <row r="53" spans="2:7" x14ac:dyDescent="0.3">
      <c r="B53" s="14" t="s">
        <v>201</v>
      </c>
      <c r="C53" s="14" t="s">
        <v>165</v>
      </c>
      <c r="D53" s="151" t="s">
        <v>239</v>
      </c>
      <c r="E53" s="151"/>
      <c r="F53" s="93" t="s">
        <v>240</v>
      </c>
      <c r="G53" s="68"/>
    </row>
    <row r="54" spans="2:7" x14ac:dyDescent="0.3">
      <c r="B54" s="159">
        <v>9001</v>
      </c>
      <c r="C54" s="159" t="s">
        <v>165</v>
      </c>
      <c r="D54" s="162" t="s">
        <v>172</v>
      </c>
      <c r="E54" s="163"/>
      <c r="F54" s="180" t="s">
        <v>173</v>
      </c>
      <c r="G54" s="183"/>
    </row>
    <row r="55" spans="2:7" x14ac:dyDescent="0.3">
      <c r="B55" s="160"/>
      <c r="C55" s="160"/>
      <c r="D55" s="164"/>
      <c r="E55" s="165"/>
      <c r="F55" s="181"/>
      <c r="G55" s="157"/>
    </row>
    <row r="56" spans="2:7" x14ac:dyDescent="0.3">
      <c r="B56" s="160"/>
      <c r="C56" s="160"/>
      <c r="D56" s="164"/>
      <c r="E56" s="165"/>
      <c r="F56" s="181"/>
      <c r="G56" s="157"/>
    </row>
    <row r="57" spans="2:7" x14ac:dyDescent="0.3">
      <c r="B57" s="160"/>
      <c r="C57" s="160"/>
      <c r="D57" s="164"/>
      <c r="E57" s="165"/>
      <c r="F57" s="181"/>
      <c r="G57" s="157"/>
    </row>
    <row r="58" spans="2:7" x14ac:dyDescent="0.3">
      <c r="B58" s="160"/>
      <c r="C58" s="160"/>
      <c r="D58" s="164"/>
      <c r="E58" s="165"/>
      <c r="F58" s="181"/>
      <c r="G58" s="157"/>
    </row>
    <row r="59" spans="2:7" x14ac:dyDescent="0.3">
      <c r="B59" s="160"/>
      <c r="C59" s="160"/>
      <c r="D59" s="164"/>
      <c r="E59" s="165"/>
      <c r="F59" s="181"/>
      <c r="G59" s="157"/>
    </row>
    <row r="60" spans="2:7" x14ac:dyDescent="0.3">
      <c r="B60" s="160"/>
      <c r="C60" s="160"/>
      <c r="D60" s="164"/>
      <c r="E60" s="165"/>
      <c r="F60" s="181"/>
      <c r="G60" s="157"/>
    </row>
    <row r="61" spans="2:7" x14ac:dyDescent="0.3">
      <c r="B61" s="161"/>
      <c r="C61" s="161"/>
      <c r="D61" s="166"/>
      <c r="E61" s="167"/>
      <c r="F61" s="182"/>
      <c r="G61" s="158"/>
    </row>
    <row r="62" spans="2:7" ht="63.4" x14ac:dyDescent="0.3">
      <c r="B62" s="14" t="s">
        <v>361</v>
      </c>
      <c r="C62" s="14" t="s">
        <v>362</v>
      </c>
      <c r="D62" s="151" t="s">
        <v>166</v>
      </c>
      <c r="E62" s="151"/>
      <c r="F62" s="93" t="s">
        <v>229</v>
      </c>
      <c r="G62" s="68"/>
    </row>
    <row r="63" spans="2:7" x14ac:dyDescent="0.3">
      <c r="B63" s="14">
        <v>9001</v>
      </c>
      <c r="C63" s="14" t="s">
        <v>167</v>
      </c>
      <c r="D63" s="151" t="s">
        <v>154</v>
      </c>
      <c r="E63" s="151"/>
      <c r="F63" s="93" t="s">
        <v>159</v>
      </c>
      <c r="G63" s="68"/>
    </row>
    <row r="64" spans="2:7" ht="25.35" x14ac:dyDescent="0.3">
      <c r="B64" s="14">
        <v>9001</v>
      </c>
      <c r="C64" s="14" t="s">
        <v>168</v>
      </c>
      <c r="D64" s="151" t="s">
        <v>170</v>
      </c>
      <c r="E64" s="151"/>
      <c r="F64" s="93" t="s">
        <v>171</v>
      </c>
      <c r="G64" s="68"/>
    </row>
    <row r="65" spans="2:7" x14ac:dyDescent="0.3">
      <c r="B65" s="14">
        <v>9001</v>
      </c>
      <c r="C65" s="14" t="s">
        <v>169</v>
      </c>
      <c r="D65" s="151" t="s">
        <v>155</v>
      </c>
      <c r="E65" s="151"/>
      <c r="F65" s="93" t="s">
        <v>160</v>
      </c>
      <c r="G65" s="68"/>
    </row>
    <row r="66" spans="2:7" ht="79.5" customHeight="1" x14ac:dyDescent="0.3">
      <c r="B66" s="14">
        <v>9001</v>
      </c>
      <c r="C66" s="14" t="s">
        <v>386</v>
      </c>
      <c r="D66" s="151" t="s">
        <v>387</v>
      </c>
      <c r="E66" s="151"/>
      <c r="F66" s="93" t="s">
        <v>161</v>
      </c>
      <c r="G66" s="68"/>
    </row>
    <row r="67" spans="2:7" x14ac:dyDescent="0.3">
      <c r="B67" s="14">
        <v>9001</v>
      </c>
      <c r="C67" s="14" t="s">
        <v>98</v>
      </c>
      <c r="D67" s="151" t="s">
        <v>156</v>
      </c>
      <c r="E67" s="151"/>
      <c r="F67" s="93" t="s">
        <v>162</v>
      </c>
      <c r="G67" s="68"/>
    </row>
    <row r="68" spans="2:7" ht="25.35" x14ac:dyDescent="0.3">
      <c r="B68" s="14" t="s">
        <v>201</v>
      </c>
      <c r="C68" s="14" t="s">
        <v>242</v>
      </c>
      <c r="D68" s="151" t="s">
        <v>241</v>
      </c>
      <c r="E68" s="151"/>
      <c r="F68" s="93" t="s">
        <v>243</v>
      </c>
      <c r="G68" s="68"/>
    </row>
    <row r="69" spans="2:7" ht="25.35" x14ac:dyDescent="0.3">
      <c r="B69" s="14" t="s">
        <v>201</v>
      </c>
      <c r="C69" s="14" t="s">
        <v>244</v>
      </c>
      <c r="D69" s="151" t="s">
        <v>246</v>
      </c>
      <c r="E69" s="151"/>
      <c r="F69" s="93" t="s">
        <v>245</v>
      </c>
      <c r="G69" s="68"/>
    </row>
    <row r="70" spans="2:7" ht="25.35" x14ac:dyDescent="0.3">
      <c r="B70" s="14" t="s">
        <v>201</v>
      </c>
      <c r="C70" s="14" t="s">
        <v>247</v>
      </c>
      <c r="D70" s="151" t="s">
        <v>248</v>
      </c>
      <c r="E70" s="151"/>
      <c r="F70" s="93" t="s">
        <v>249</v>
      </c>
      <c r="G70" s="68"/>
    </row>
    <row r="71" spans="2:7" ht="25.35" x14ac:dyDescent="0.3">
      <c r="B71" s="14" t="s">
        <v>201</v>
      </c>
      <c r="C71" s="14" t="s">
        <v>250</v>
      </c>
      <c r="D71" s="151" t="s">
        <v>251</v>
      </c>
      <c r="E71" s="151"/>
      <c r="F71" s="93" t="s">
        <v>252</v>
      </c>
      <c r="G71" s="68"/>
    </row>
    <row r="72" spans="2:7" ht="25.35" x14ac:dyDescent="0.3">
      <c r="B72" s="14" t="s">
        <v>201</v>
      </c>
      <c r="C72" s="14" t="s">
        <v>253</v>
      </c>
      <c r="D72" s="151" t="s">
        <v>254</v>
      </c>
      <c r="E72" s="151"/>
      <c r="F72" s="93" t="s">
        <v>255</v>
      </c>
      <c r="G72" s="68"/>
    </row>
    <row r="73" spans="2:7" ht="25.35" x14ac:dyDescent="0.3">
      <c r="B73" s="14" t="s">
        <v>201</v>
      </c>
      <c r="C73" s="14" t="s">
        <v>256</v>
      </c>
      <c r="D73" s="151" t="s">
        <v>257</v>
      </c>
      <c r="E73" s="151"/>
      <c r="F73" s="93" t="s">
        <v>258</v>
      </c>
      <c r="G73" s="68"/>
    </row>
    <row r="74" spans="2:7" ht="25.35" x14ac:dyDescent="0.3">
      <c r="B74" s="14">
        <v>9001</v>
      </c>
      <c r="C74" s="14" t="s">
        <v>99</v>
      </c>
      <c r="D74" s="151" t="s">
        <v>174</v>
      </c>
      <c r="E74" s="151"/>
      <c r="F74" s="93" t="s">
        <v>175</v>
      </c>
      <c r="G74" s="68"/>
    </row>
    <row r="75" spans="2:7" ht="38.049999999999997" x14ac:dyDescent="0.3">
      <c r="B75" s="14" t="s">
        <v>307</v>
      </c>
      <c r="C75" s="14" t="s">
        <v>94</v>
      </c>
      <c r="D75" s="151" t="s">
        <v>163</v>
      </c>
      <c r="E75" s="151"/>
      <c r="F75" s="93" t="s">
        <v>164</v>
      </c>
      <c r="G75" s="68"/>
    </row>
    <row r="76" spans="2:7" ht="25.35" x14ac:dyDescent="0.3">
      <c r="B76" s="14">
        <v>37001</v>
      </c>
      <c r="C76" s="14" t="s">
        <v>94</v>
      </c>
      <c r="D76" s="151" t="s">
        <v>177</v>
      </c>
      <c r="E76" s="151"/>
      <c r="F76" s="93" t="s">
        <v>176</v>
      </c>
      <c r="G76" s="68"/>
    </row>
    <row r="77" spans="2:7" ht="25.35" x14ac:dyDescent="0.3">
      <c r="B77" s="14">
        <v>37001</v>
      </c>
      <c r="C77" s="14" t="s">
        <v>95</v>
      </c>
      <c r="D77" s="151" t="s">
        <v>178</v>
      </c>
      <c r="E77" s="151"/>
      <c r="F77" s="93" t="s">
        <v>180</v>
      </c>
      <c r="G77" s="68"/>
    </row>
    <row r="78" spans="2:7" ht="76.05" x14ac:dyDescent="0.3">
      <c r="B78" s="14">
        <v>37001</v>
      </c>
      <c r="C78" s="14" t="s">
        <v>96</v>
      </c>
      <c r="D78" s="151" t="s">
        <v>179</v>
      </c>
      <c r="E78" s="151"/>
      <c r="F78" s="93" t="s">
        <v>181</v>
      </c>
      <c r="G78" s="68"/>
    </row>
    <row r="79" spans="2:7" ht="38.049999999999997" x14ac:dyDescent="0.3">
      <c r="B79" s="14">
        <v>37001</v>
      </c>
      <c r="C79" s="14" t="s">
        <v>97</v>
      </c>
      <c r="D79" s="151" t="s">
        <v>183</v>
      </c>
      <c r="E79" s="151"/>
      <c r="F79" s="93" t="s">
        <v>184</v>
      </c>
      <c r="G79" s="68"/>
    </row>
    <row r="80" spans="2:7" ht="25.35" x14ac:dyDescent="0.3">
      <c r="B80" s="14">
        <v>37001</v>
      </c>
      <c r="C80" s="14" t="s">
        <v>98</v>
      </c>
      <c r="D80" s="151" t="s">
        <v>100</v>
      </c>
      <c r="E80" s="151"/>
      <c r="F80" s="93" t="s">
        <v>185</v>
      </c>
      <c r="G80" s="68"/>
    </row>
    <row r="81" spans="2:8" ht="25.35" x14ac:dyDescent="0.3">
      <c r="B81" s="14">
        <v>37001</v>
      </c>
      <c r="C81" s="14" t="s">
        <v>99</v>
      </c>
      <c r="D81" s="151" t="s">
        <v>101</v>
      </c>
      <c r="E81" s="151"/>
      <c r="F81" s="93" t="s">
        <v>186</v>
      </c>
      <c r="G81" s="68"/>
    </row>
    <row r="82" spans="2:8" ht="25.35" x14ac:dyDescent="0.3">
      <c r="B82" s="14">
        <v>37001</v>
      </c>
      <c r="C82" s="14" t="s">
        <v>102</v>
      </c>
      <c r="D82" s="151" t="s">
        <v>103</v>
      </c>
      <c r="E82" s="151"/>
      <c r="F82" s="93" t="s">
        <v>189</v>
      </c>
      <c r="G82" s="68"/>
    </row>
    <row r="83" spans="2:8" ht="38.049999999999997" x14ac:dyDescent="0.3">
      <c r="B83" s="14" t="s">
        <v>304</v>
      </c>
      <c r="C83" s="14" t="s">
        <v>194</v>
      </c>
      <c r="D83" s="151" t="s">
        <v>187</v>
      </c>
      <c r="E83" s="151"/>
      <c r="F83" s="93" t="s">
        <v>188</v>
      </c>
      <c r="G83" s="68"/>
    </row>
    <row r="84" spans="2:8" ht="76.05" x14ac:dyDescent="0.3">
      <c r="B84" s="14" t="s">
        <v>304</v>
      </c>
      <c r="C84" s="14" t="s">
        <v>195</v>
      </c>
      <c r="D84" s="151" t="s">
        <v>190</v>
      </c>
      <c r="E84" s="151"/>
      <c r="F84" s="93" t="s">
        <v>191</v>
      </c>
      <c r="G84" s="68"/>
    </row>
    <row r="87" spans="2:8" ht="15" thickBot="1" x14ac:dyDescent="0.35">
      <c r="E87" s="7" t="s">
        <v>3</v>
      </c>
      <c r="F87" s="7" t="s">
        <v>29</v>
      </c>
      <c r="G87" s="7" t="s">
        <v>2</v>
      </c>
      <c r="H87" s="8" t="s">
        <v>30</v>
      </c>
    </row>
    <row r="88" spans="2:8" x14ac:dyDescent="0.3">
      <c r="E88" s="67"/>
      <c r="F88" s="84"/>
      <c r="G88" s="61"/>
      <c r="H88" s="61"/>
    </row>
    <row r="89" spans="2:8" x14ac:dyDescent="0.3">
      <c r="E89" s="68"/>
      <c r="F89" s="68"/>
      <c r="G89" s="58"/>
      <c r="H89" s="58"/>
    </row>
    <row r="90" spans="2:8" x14ac:dyDescent="0.3">
      <c r="E90" s="68"/>
      <c r="F90" s="68"/>
      <c r="G90" s="58"/>
      <c r="H90" s="58"/>
    </row>
    <row r="91" spans="2:8" x14ac:dyDescent="0.3">
      <c r="E91" s="68"/>
      <c r="F91" s="68"/>
      <c r="G91" s="58"/>
      <c r="H91" s="58"/>
    </row>
    <row r="92" spans="2:8" x14ac:dyDescent="0.3">
      <c r="E92" s="68"/>
      <c r="F92" s="68"/>
      <c r="G92" s="58"/>
      <c r="H92" s="58"/>
    </row>
    <row r="93" spans="2:8" x14ac:dyDescent="0.3">
      <c r="E93" s="68"/>
      <c r="F93" s="68"/>
      <c r="G93" s="58"/>
      <c r="H93" s="58"/>
    </row>
    <row r="94" spans="2:8" x14ac:dyDescent="0.3">
      <c r="E94" s="69"/>
      <c r="F94" s="69"/>
      <c r="G94" s="64"/>
      <c r="H94" s="64"/>
    </row>
  </sheetData>
  <sheetProtection algorithmName="SHA-512" hashValue="OJsrOYPjGu5uAwqXo4rw8pT3Bm4T5T8d7gpXx2Y/+UG7zW/lDNeZ+jC69UEYp1bE65E9ksi8hqgRwMOIyZcNQw==" saltValue="2In45Kr57U+EMDDy0Tj+Mg==" spinCount="100000" sheet="1" objects="1" scenarios="1" formatCells="0" formatColumns="0" formatRows="0"/>
  <mergeCells count="83">
    <mergeCell ref="D84:E84"/>
    <mergeCell ref="F14:F17"/>
    <mergeCell ref="G14:G17"/>
    <mergeCell ref="D53:E53"/>
    <mergeCell ref="B54:B61"/>
    <mergeCell ref="C54:C61"/>
    <mergeCell ref="D54:E61"/>
    <mergeCell ref="F54:F61"/>
    <mergeCell ref="G54:G61"/>
    <mergeCell ref="D79:E79"/>
    <mergeCell ref="D80:E80"/>
    <mergeCell ref="D81:E81"/>
    <mergeCell ref="D82:E82"/>
    <mergeCell ref="D83:E83"/>
    <mergeCell ref="D74:E74"/>
    <mergeCell ref="D75:E75"/>
    <mergeCell ref="D76:E76"/>
    <mergeCell ref="D77:E77"/>
    <mergeCell ref="D78:E78"/>
    <mergeCell ref="B4:B9"/>
    <mergeCell ref="C4:C9"/>
    <mergeCell ref="D9:E9"/>
    <mergeCell ref="B10:B13"/>
    <mergeCell ref="C10:C13"/>
    <mergeCell ref="D10:E13"/>
    <mergeCell ref="D48:E48"/>
    <mergeCell ref="D46:E46"/>
    <mergeCell ref="D33:E33"/>
    <mergeCell ref="D30:E30"/>
    <mergeCell ref="D43:E43"/>
    <mergeCell ref="D44:E44"/>
    <mergeCell ref="D31:E31"/>
    <mergeCell ref="F10:F13"/>
    <mergeCell ref="G10:G13"/>
    <mergeCell ref="B14:B17"/>
    <mergeCell ref="C14:C17"/>
    <mergeCell ref="D8:E8"/>
    <mergeCell ref="D14:E17"/>
    <mergeCell ref="D3:F3"/>
    <mergeCell ref="D4:E4"/>
    <mergeCell ref="D5:E5"/>
    <mergeCell ref="D6:E6"/>
    <mergeCell ref="D7:E7"/>
    <mergeCell ref="D19:E19"/>
    <mergeCell ref="D29:E29"/>
    <mergeCell ref="D20:E20"/>
    <mergeCell ref="D21:E21"/>
    <mergeCell ref="D49:E49"/>
    <mergeCell ref="D38:E38"/>
    <mergeCell ref="D39:E39"/>
    <mergeCell ref="D37:E37"/>
    <mergeCell ref="D22:E22"/>
    <mergeCell ref="D23:E23"/>
    <mergeCell ref="D24:E24"/>
    <mergeCell ref="D25:E25"/>
    <mergeCell ref="D26:E26"/>
    <mergeCell ref="D45:E45"/>
    <mergeCell ref="D47:E47"/>
    <mergeCell ref="D32:E32"/>
    <mergeCell ref="D35:E35"/>
    <mergeCell ref="D36:E36"/>
    <mergeCell ref="D67:E67"/>
    <mergeCell ref="D68:E68"/>
    <mergeCell ref="D69:E69"/>
    <mergeCell ref="D62:E62"/>
    <mergeCell ref="D63:E63"/>
    <mergeCell ref="D64:E64"/>
    <mergeCell ref="D73:E73"/>
    <mergeCell ref="D34:E34"/>
    <mergeCell ref="D70:E70"/>
    <mergeCell ref="D18:E18"/>
    <mergeCell ref="D40:E40"/>
    <mergeCell ref="D41:E41"/>
    <mergeCell ref="D42:E42"/>
    <mergeCell ref="D27:E27"/>
    <mergeCell ref="D28:E28"/>
    <mergeCell ref="D50:E50"/>
    <mergeCell ref="D51:E51"/>
    <mergeCell ref="D52:E52"/>
    <mergeCell ref="D71:E71"/>
    <mergeCell ref="D72:E72"/>
    <mergeCell ref="D65:E65"/>
    <mergeCell ref="D66:E66"/>
  </mergeCells>
  <phoneticPr fontId="6" type="noConversion"/>
  <dataValidations count="3">
    <dataValidation type="list" allowBlank="1" showInputMessage="1" showErrorMessage="1" sqref="G4:G10 G14:G84" xr:uid="{DAB1A28D-ADE8-43BB-A2CD-EDD2434BC550}">
      <formula1>"'CA,C,N/A"</formula1>
    </dataValidation>
    <dataValidation type="list" allowBlank="1" showInputMessage="1" showErrorMessage="1" sqref="H88:H94" xr:uid="{0B7126AE-9E65-4DC9-9FA7-F7303B34F8C3}">
      <formula1>"NCMin, NCMagg, Oss"</formula1>
    </dataValidation>
    <dataValidation type="list" allowBlank="1" showInputMessage="1" showErrorMessage="1" sqref="G1:G2" xr:uid="{64AE73BF-F488-4C59-AE71-66B2BE0EB74B}">
      <formula1>#REF!</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D8AF9-99F7-4EF2-B14B-67D4C233149D}">
  <sheetPr codeName="Foglio11"/>
  <dimension ref="B2:H94"/>
  <sheetViews>
    <sheetView topLeftCell="A83" zoomScale="115" zoomScaleNormal="115" workbookViewId="0">
      <selection activeCell="H90" sqref="E90:H91"/>
    </sheetView>
  </sheetViews>
  <sheetFormatPr defaultRowHeight="14.4" x14ac:dyDescent="0.3"/>
  <cols>
    <col min="3" max="3" width="10.69921875" customWidth="1"/>
    <col min="5" max="5" width="20.59765625" customWidth="1"/>
    <col min="6" max="6" width="76.59765625" customWidth="1"/>
    <col min="7" max="7" width="19.296875" customWidth="1"/>
    <col min="10" max="10" width="67.59765625" customWidth="1"/>
    <col min="14" max="14" width="61.59765625" customWidth="1"/>
    <col min="18" max="18" width="0" hidden="1" customWidth="1"/>
  </cols>
  <sheetData>
    <row r="2" spans="2:7" ht="15" thickBot="1" x14ac:dyDescent="0.35"/>
    <row r="3" spans="2:7" s="30" customFormat="1" ht="43.8" thickBot="1" x14ac:dyDescent="0.35">
      <c r="B3" s="81" t="s">
        <v>2</v>
      </c>
      <c r="C3" s="82" t="s">
        <v>3</v>
      </c>
      <c r="D3" s="152" t="s">
        <v>378</v>
      </c>
      <c r="E3" s="152"/>
      <c r="F3" s="152"/>
      <c r="G3" s="83" t="s">
        <v>346</v>
      </c>
    </row>
    <row r="4" spans="2:7" s="80" customFormat="1" ht="38.049999999999997" x14ac:dyDescent="0.3">
      <c r="B4" s="168" t="s">
        <v>369</v>
      </c>
      <c r="C4" s="171" t="s">
        <v>363</v>
      </c>
      <c r="D4" s="151" t="s">
        <v>345</v>
      </c>
      <c r="E4" s="151"/>
      <c r="F4" s="92" t="s">
        <v>365</v>
      </c>
      <c r="G4" s="89" t="s">
        <v>352</v>
      </c>
    </row>
    <row r="5" spans="2:7" s="80" customFormat="1" ht="38.049999999999997" x14ac:dyDescent="0.3">
      <c r="B5" s="169"/>
      <c r="C5" s="160"/>
      <c r="D5" s="151" t="s">
        <v>364</v>
      </c>
      <c r="E5" s="151"/>
      <c r="F5" s="92" t="s">
        <v>368</v>
      </c>
      <c r="G5" s="89"/>
    </row>
    <row r="6" spans="2:7" ht="50.7" x14ac:dyDescent="0.3">
      <c r="B6" s="169"/>
      <c r="C6" s="160"/>
      <c r="D6" s="151" t="s">
        <v>366</v>
      </c>
      <c r="E6" s="151"/>
      <c r="F6" s="92" t="s">
        <v>367</v>
      </c>
      <c r="G6" s="87" t="s">
        <v>351</v>
      </c>
    </row>
    <row r="7" spans="2:7" x14ac:dyDescent="0.3">
      <c r="B7" s="169"/>
      <c r="C7" s="160"/>
      <c r="D7" s="151" t="s">
        <v>104</v>
      </c>
      <c r="E7" s="151"/>
      <c r="F7" s="71" t="s">
        <v>157</v>
      </c>
      <c r="G7" s="87" t="s">
        <v>351</v>
      </c>
    </row>
    <row r="8" spans="2:7" ht="18" customHeight="1" x14ac:dyDescent="0.3">
      <c r="B8" s="169"/>
      <c r="C8" s="160"/>
      <c r="D8" s="151" t="s">
        <v>105</v>
      </c>
      <c r="E8" s="151"/>
      <c r="F8" s="58"/>
      <c r="G8" s="87" t="s">
        <v>351</v>
      </c>
    </row>
    <row r="9" spans="2:7" ht="43.8" thickBot="1" x14ac:dyDescent="0.35">
      <c r="B9" s="170"/>
      <c r="C9" s="172"/>
      <c r="D9" s="173" t="s">
        <v>106</v>
      </c>
      <c r="E9" s="173"/>
      <c r="F9" s="86" t="s">
        <v>350</v>
      </c>
      <c r="G9" s="88" t="s">
        <v>351</v>
      </c>
    </row>
    <row r="10" spans="2:7" x14ac:dyDescent="0.3">
      <c r="B10" s="171" t="s">
        <v>357</v>
      </c>
      <c r="C10" s="171" t="s">
        <v>358</v>
      </c>
      <c r="D10" s="174" t="s">
        <v>359</v>
      </c>
      <c r="E10" s="175"/>
      <c r="F10" s="184" t="s">
        <v>158</v>
      </c>
      <c r="G10" s="156" t="s">
        <v>351</v>
      </c>
    </row>
    <row r="11" spans="2:7" x14ac:dyDescent="0.3">
      <c r="B11" s="160"/>
      <c r="C11" s="160"/>
      <c r="D11" s="164"/>
      <c r="E11" s="165"/>
      <c r="F11" s="185"/>
      <c r="G11" s="157"/>
    </row>
    <row r="12" spans="2:7" x14ac:dyDescent="0.3">
      <c r="B12" s="160"/>
      <c r="C12" s="160"/>
      <c r="D12" s="164"/>
      <c r="E12" s="165"/>
      <c r="F12" s="185"/>
      <c r="G12" s="157"/>
    </row>
    <row r="13" spans="2:7" x14ac:dyDescent="0.3">
      <c r="B13" s="161"/>
      <c r="C13" s="161"/>
      <c r="D13" s="166"/>
      <c r="E13" s="167"/>
      <c r="F13" s="186"/>
      <c r="G13" s="158"/>
    </row>
    <row r="14" spans="2:7" x14ac:dyDescent="0.3">
      <c r="B14" s="159" t="s">
        <v>372</v>
      </c>
      <c r="C14" s="159" t="s">
        <v>374</v>
      </c>
      <c r="D14" s="162" t="s">
        <v>344</v>
      </c>
      <c r="E14" s="163"/>
      <c r="F14" s="187" t="s">
        <v>349</v>
      </c>
      <c r="G14" s="179"/>
    </row>
    <row r="15" spans="2:7" x14ac:dyDescent="0.3">
      <c r="B15" s="160"/>
      <c r="C15" s="160"/>
      <c r="D15" s="164"/>
      <c r="E15" s="165"/>
      <c r="F15" s="188"/>
      <c r="G15" s="157"/>
    </row>
    <row r="16" spans="2:7" x14ac:dyDescent="0.3">
      <c r="B16" s="160"/>
      <c r="C16" s="160"/>
      <c r="D16" s="164"/>
      <c r="E16" s="165"/>
      <c r="F16" s="188"/>
      <c r="G16" s="157"/>
    </row>
    <row r="17" spans="2:7" x14ac:dyDescent="0.3">
      <c r="B17" s="161"/>
      <c r="C17" s="161"/>
      <c r="D17" s="166"/>
      <c r="E17" s="167"/>
      <c r="F17" s="189"/>
      <c r="G17" s="158"/>
    </row>
    <row r="18" spans="2:7" ht="63.4" x14ac:dyDescent="0.3">
      <c r="B18" s="14">
        <v>37301</v>
      </c>
      <c r="C18" s="14" t="s">
        <v>94</v>
      </c>
      <c r="D18" s="151" t="s">
        <v>193</v>
      </c>
      <c r="E18" s="151"/>
      <c r="F18" s="71" t="s">
        <v>192</v>
      </c>
      <c r="G18" s="68"/>
    </row>
    <row r="19" spans="2:7" ht="76.05" x14ac:dyDescent="0.3">
      <c r="B19" s="14" t="s">
        <v>201</v>
      </c>
      <c r="C19" s="14" t="s">
        <v>94</v>
      </c>
      <c r="D19" s="151" t="s">
        <v>259</v>
      </c>
      <c r="E19" s="151"/>
      <c r="F19" s="71" t="s">
        <v>260</v>
      </c>
      <c r="G19" s="68"/>
    </row>
    <row r="20" spans="2:7" ht="228.1" x14ac:dyDescent="0.3">
      <c r="B20" s="14" t="s">
        <v>201</v>
      </c>
      <c r="C20" s="14" t="s">
        <v>94</v>
      </c>
      <c r="D20" s="151" t="s">
        <v>202</v>
      </c>
      <c r="E20" s="151"/>
      <c r="F20" s="71" t="s">
        <v>203</v>
      </c>
      <c r="G20" s="68"/>
    </row>
    <row r="21" spans="2:7" ht="190.1" x14ac:dyDescent="0.3">
      <c r="B21" s="14" t="s">
        <v>201</v>
      </c>
      <c r="C21" s="14" t="s">
        <v>204</v>
      </c>
      <c r="D21" s="151" t="s">
        <v>205</v>
      </c>
      <c r="E21" s="151"/>
      <c r="F21" s="71" t="s">
        <v>209</v>
      </c>
      <c r="G21" s="68"/>
    </row>
    <row r="22" spans="2:7" ht="190.1" x14ac:dyDescent="0.3">
      <c r="B22" s="14" t="s">
        <v>201</v>
      </c>
      <c r="C22" s="14" t="s">
        <v>207</v>
      </c>
      <c r="D22" s="151" t="s">
        <v>206</v>
      </c>
      <c r="E22" s="151"/>
      <c r="F22" s="71" t="s">
        <v>208</v>
      </c>
      <c r="G22" s="68"/>
    </row>
    <row r="23" spans="2:7" ht="177.45" x14ac:dyDescent="0.3">
      <c r="B23" s="14" t="s">
        <v>201</v>
      </c>
      <c r="C23" s="14" t="s">
        <v>211</v>
      </c>
      <c r="D23" s="151" t="s">
        <v>210</v>
      </c>
      <c r="E23" s="151"/>
      <c r="F23" s="71" t="s">
        <v>212</v>
      </c>
      <c r="G23" s="68"/>
    </row>
    <row r="24" spans="2:7" ht="190.1" x14ac:dyDescent="0.3">
      <c r="B24" s="14" t="s">
        <v>201</v>
      </c>
      <c r="C24" s="14" t="s">
        <v>213</v>
      </c>
      <c r="D24" s="151" t="s">
        <v>214</v>
      </c>
      <c r="E24" s="151"/>
      <c r="F24" s="71" t="s">
        <v>215</v>
      </c>
      <c r="G24" s="68"/>
    </row>
    <row r="25" spans="2:7" ht="190.1" x14ac:dyDescent="0.3">
      <c r="B25" s="14" t="s">
        <v>201</v>
      </c>
      <c r="C25" s="14" t="s">
        <v>216</v>
      </c>
      <c r="D25" s="151" t="s">
        <v>218</v>
      </c>
      <c r="E25" s="151"/>
      <c r="F25" s="71" t="s">
        <v>217</v>
      </c>
      <c r="G25" s="68"/>
    </row>
    <row r="26" spans="2:7" ht="139.4" x14ac:dyDescent="0.3">
      <c r="B26" s="14">
        <v>50001</v>
      </c>
      <c r="C26" s="14" t="s">
        <v>94</v>
      </c>
      <c r="D26" s="151" t="s">
        <v>300</v>
      </c>
      <c r="E26" s="151"/>
      <c r="F26" s="71" t="s">
        <v>301</v>
      </c>
      <c r="G26" s="68"/>
    </row>
    <row r="27" spans="2:7" ht="164.3" customHeight="1" x14ac:dyDescent="0.3">
      <c r="B27" s="14" t="s">
        <v>373</v>
      </c>
      <c r="C27" s="14" t="s">
        <v>375</v>
      </c>
      <c r="D27" s="151" t="s">
        <v>302</v>
      </c>
      <c r="E27" s="151"/>
      <c r="F27" s="92" t="s">
        <v>370</v>
      </c>
      <c r="G27" s="68"/>
    </row>
    <row r="28" spans="2:7" ht="215.45" x14ac:dyDescent="0.3">
      <c r="B28" s="14" t="s">
        <v>373</v>
      </c>
      <c r="C28" s="14" t="s">
        <v>376</v>
      </c>
      <c r="D28" s="151" t="s">
        <v>303</v>
      </c>
      <c r="E28" s="151"/>
      <c r="F28" s="92" t="s">
        <v>371</v>
      </c>
      <c r="G28" s="68"/>
    </row>
    <row r="29" spans="2:7" ht="25.35" x14ac:dyDescent="0.3">
      <c r="B29" s="14">
        <v>22301</v>
      </c>
      <c r="C29" s="14" t="s">
        <v>268</v>
      </c>
      <c r="D29" s="151" t="s">
        <v>266</v>
      </c>
      <c r="E29" s="151"/>
      <c r="F29" s="71" t="s">
        <v>267</v>
      </c>
      <c r="G29" s="68"/>
    </row>
    <row r="30" spans="2:7" ht="50.7" x14ac:dyDescent="0.3">
      <c r="B30" s="14">
        <v>22301</v>
      </c>
      <c r="C30" s="14" t="s">
        <v>204</v>
      </c>
      <c r="D30" s="151" t="s">
        <v>269</v>
      </c>
      <c r="E30" s="151"/>
      <c r="F30" s="71" t="s">
        <v>270</v>
      </c>
      <c r="G30" s="68"/>
    </row>
    <row r="31" spans="2:7" ht="50.7" x14ac:dyDescent="0.3">
      <c r="B31" s="14">
        <v>22301</v>
      </c>
      <c r="C31" s="14" t="s">
        <v>207</v>
      </c>
      <c r="D31" s="151" t="s">
        <v>271</v>
      </c>
      <c r="E31" s="151"/>
      <c r="F31" s="71" t="s">
        <v>272</v>
      </c>
      <c r="G31" s="68"/>
    </row>
    <row r="32" spans="2:7" ht="25.35" x14ac:dyDescent="0.3">
      <c r="B32" s="14">
        <v>22301</v>
      </c>
      <c r="C32" s="14" t="s">
        <v>219</v>
      </c>
      <c r="D32" s="151" t="s">
        <v>274</v>
      </c>
      <c r="E32" s="151"/>
      <c r="F32" s="71" t="s">
        <v>275</v>
      </c>
      <c r="G32" s="68"/>
    </row>
    <row r="33" spans="2:7" ht="25.35" x14ac:dyDescent="0.3">
      <c r="B33" s="14">
        <v>22301</v>
      </c>
      <c r="C33" s="14" t="s">
        <v>222</v>
      </c>
      <c r="D33" s="151" t="s">
        <v>276</v>
      </c>
      <c r="E33" s="151"/>
      <c r="F33" s="71" t="s">
        <v>277</v>
      </c>
      <c r="G33" s="68"/>
    </row>
    <row r="34" spans="2:7" ht="25.35" x14ac:dyDescent="0.3">
      <c r="B34" s="14">
        <v>22301</v>
      </c>
      <c r="C34" s="14" t="s">
        <v>225</v>
      </c>
      <c r="D34" s="151" t="s">
        <v>278</v>
      </c>
      <c r="E34" s="151"/>
      <c r="F34" s="71" t="s">
        <v>279</v>
      </c>
      <c r="G34" s="68"/>
    </row>
    <row r="35" spans="2:7" ht="25.35" x14ac:dyDescent="0.3">
      <c r="B35" s="14">
        <v>22301</v>
      </c>
      <c r="C35" s="14" t="s">
        <v>228</v>
      </c>
      <c r="D35" s="151" t="s">
        <v>280</v>
      </c>
      <c r="E35" s="151"/>
      <c r="F35" s="71" t="s">
        <v>281</v>
      </c>
      <c r="G35" s="68"/>
    </row>
    <row r="36" spans="2:7" ht="38.049999999999997" x14ac:dyDescent="0.3">
      <c r="B36" s="14">
        <v>22301</v>
      </c>
      <c r="C36" s="14" t="s">
        <v>273</v>
      </c>
      <c r="D36" s="151" t="s">
        <v>282</v>
      </c>
      <c r="E36" s="151"/>
      <c r="F36" s="71" t="s">
        <v>283</v>
      </c>
      <c r="G36" s="68"/>
    </row>
    <row r="37" spans="2:7" ht="25.35" x14ac:dyDescent="0.3">
      <c r="B37" s="14">
        <v>22301</v>
      </c>
      <c r="C37" s="14" t="s">
        <v>230</v>
      </c>
      <c r="D37" s="151" t="s">
        <v>286</v>
      </c>
      <c r="E37" s="151"/>
      <c r="F37" s="71" t="s">
        <v>287</v>
      </c>
      <c r="G37" s="68"/>
    </row>
    <row r="38" spans="2:7" ht="25.35" x14ac:dyDescent="0.3">
      <c r="B38" s="14">
        <v>22301</v>
      </c>
      <c r="C38" s="14" t="s">
        <v>233</v>
      </c>
      <c r="D38" s="151" t="s">
        <v>288</v>
      </c>
      <c r="E38" s="151"/>
      <c r="F38" s="71" t="s">
        <v>289</v>
      </c>
      <c r="G38" s="68"/>
    </row>
    <row r="39" spans="2:7" ht="25.35" x14ac:dyDescent="0.3">
      <c r="B39" s="14">
        <v>22301</v>
      </c>
      <c r="C39" s="14" t="s">
        <v>236</v>
      </c>
      <c r="D39" s="151" t="s">
        <v>290</v>
      </c>
      <c r="E39" s="151"/>
      <c r="F39" s="71" t="s">
        <v>291</v>
      </c>
      <c r="G39" s="68"/>
    </row>
    <row r="40" spans="2:7" ht="25.35" x14ac:dyDescent="0.3">
      <c r="B40" s="14">
        <v>22301</v>
      </c>
      <c r="C40" s="14" t="s">
        <v>284</v>
      </c>
      <c r="D40" s="151" t="s">
        <v>292</v>
      </c>
      <c r="E40" s="151"/>
      <c r="F40" s="71" t="s">
        <v>293</v>
      </c>
      <c r="G40" s="68"/>
    </row>
    <row r="41" spans="2:7" ht="25.35" x14ac:dyDescent="0.3">
      <c r="B41" s="14">
        <v>22301</v>
      </c>
      <c r="C41" s="14" t="s">
        <v>285</v>
      </c>
      <c r="D41" s="151" t="s">
        <v>294</v>
      </c>
      <c r="E41" s="151"/>
      <c r="F41" s="71" t="s">
        <v>295</v>
      </c>
      <c r="G41" s="68"/>
    </row>
    <row r="42" spans="2:7" ht="38.049999999999997" x14ac:dyDescent="0.3">
      <c r="B42" s="14">
        <v>22301</v>
      </c>
      <c r="C42" s="14" t="s">
        <v>97</v>
      </c>
      <c r="D42" s="151" t="s">
        <v>296</v>
      </c>
      <c r="E42" s="151"/>
      <c r="F42" s="71" t="s">
        <v>297</v>
      </c>
      <c r="G42" s="68"/>
    </row>
    <row r="43" spans="2:7" ht="38.049999999999997" x14ac:dyDescent="0.3">
      <c r="B43" s="14">
        <v>22301</v>
      </c>
      <c r="C43" s="14" t="s">
        <v>98</v>
      </c>
      <c r="D43" s="151" t="s">
        <v>298</v>
      </c>
      <c r="E43" s="151"/>
      <c r="F43" s="71" t="s">
        <v>299</v>
      </c>
      <c r="G43" s="68"/>
    </row>
    <row r="44" spans="2:7" ht="76.05" x14ac:dyDescent="0.3">
      <c r="B44" s="14">
        <v>42001</v>
      </c>
      <c r="C44" s="14" t="s">
        <v>94</v>
      </c>
      <c r="D44" s="151" t="s">
        <v>259</v>
      </c>
      <c r="E44" s="151"/>
      <c r="F44" s="71" t="s">
        <v>264</v>
      </c>
      <c r="G44" s="68"/>
    </row>
    <row r="45" spans="2:7" ht="76.05" x14ac:dyDescent="0.3">
      <c r="B45" s="14">
        <v>42001</v>
      </c>
      <c r="C45" s="14" t="s">
        <v>95</v>
      </c>
      <c r="D45" s="151" t="s">
        <v>261</v>
      </c>
      <c r="E45" s="151"/>
      <c r="F45" s="71" t="s">
        <v>262</v>
      </c>
      <c r="G45" s="68"/>
    </row>
    <row r="46" spans="2:7" ht="88.7" x14ac:dyDescent="0.3">
      <c r="B46" s="14">
        <v>42001</v>
      </c>
      <c r="C46" s="14" t="s">
        <v>265</v>
      </c>
      <c r="D46" s="151" t="s">
        <v>198</v>
      </c>
      <c r="E46" s="151"/>
      <c r="F46" s="71" t="s">
        <v>263</v>
      </c>
      <c r="G46" s="68"/>
    </row>
    <row r="47" spans="2:7" ht="25.35" x14ac:dyDescent="0.3">
      <c r="B47" s="14" t="s">
        <v>201</v>
      </c>
      <c r="C47" s="14" t="s">
        <v>219</v>
      </c>
      <c r="D47" s="151" t="s">
        <v>220</v>
      </c>
      <c r="E47" s="151"/>
      <c r="F47" s="71" t="s">
        <v>221</v>
      </c>
      <c r="G47" s="68"/>
    </row>
    <row r="48" spans="2:7" ht="25.35" x14ac:dyDescent="0.3">
      <c r="B48" s="14" t="s">
        <v>201</v>
      </c>
      <c r="C48" s="14" t="s">
        <v>222</v>
      </c>
      <c r="D48" s="151" t="s">
        <v>223</v>
      </c>
      <c r="E48" s="151"/>
      <c r="F48" s="71" t="s">
        <v>224</v>
      </c>
      <c r="G48" s="68"/>
    </row>
    <row r="49" spans="2:7" ht="25.35" x14ac:dyDescent="0.3">
      <c r="B49" s="14" t="s">
        <v>201</v>
      </c>
      <c r="C49" s="14" t="s">
        <v>225</v>
      </c>
      <c r="D49" s="151" t="s">
        <v>227</v>
      </c>
      <c r="E49" s="151"/>
      <c r="F49" s="71" t="s">
        <v>226</v>
      </c>
      <c r="G49" s="68"/>
    </row>
    <row r="50" spans="2:7" ht="25.35" x14ac:dyDescent="0.3">
      <c r="B50" s="14" t="s">
        <v>201</v>
      </c>
      <c r="C50" s="14" t="s">
        <v>230</v>
      </c>
      <c r="D50" s="151" t="s">
        <v>231</v>
      </c>
      <c r="E50" s="151"/>
      <c r="F50" s="71" t="s">
        <v>232</v>
      </c>
      <c r="G50" s="68"/>
    </row>
    <row r="51" spans="2:7" ht="25.35" x14ac:dyDescent="0.3">
      <c r="B51" s="14" t="s">
        <v>201</v>
      </c>
      <c r="C51" s="14" t="s">
        <v>233</v>
      </c>
      <c r="D51" s="151" t="s">
        <v>234</v>
      </c>
      <c r="E51" s="151"/>
      <c r="F51" s="71" t="s">
        <v>235</v>
      </c>
      <c r="G51" s="68"/>
    </row>
    <row r="52" spans="2:7" ht="25.35" x14ac:dyDescent="0.3">
      <c r="B52" s="14" t="s">
        <v>201</v>
      </c>
      <c r="C52" s="14" t="s">
        <v>236</v>
      </c>
      <c r="D52" s="151" t="s">
        <v>237</v>
      </c>
      <c r="E52" s="151"/>
      <c r="F52" s="71" t="s">
        <v>238</v>
      </c>
      <c r="G52" s="68"/>
    </row>
    <row r="53" spans="2:7" x14ac:dyDescent="0.3">
      <c r="B53" s="14" t="s">
        <v>201</v>
      </c>
      <c r="C53" s="14" t="s">
        <v>165</v>
      </c>
      <c r="D53" s="151" t="s">
        <v>239</v>
      </c>
      <c r="E53" s="151"/>
      <c r="F53" s="71" t="s">
        <v>240</v>
      </c>
      <c r="G53" s="68"/>
    </row>
    <row r="54" spans="2:7" x14ac:dyDescent="0.3">
      <c r="B54" s="159">
        <v>9001</v>
      </c>
      <c r="C54" s="159" t="s">
        <v>165</v>
      </c>
      <c r="D54" s="162" t="s">
        <v>172</v>
      </c>
      <c r="E54" s="163"/>
      <c r="F54" s="190" t="s">
        <v>173</v>
      </c>
      <c r="G54" s="183"/>
    </row>
    <row r="55" spans="2:7" x14ac:dyDescent="0.3">
      <c r="B55" s="160"/>
      <c r="C55" s="160"/>
      <c r="D55" s="164"/>
      <c r="E55" s="165"/>
      <c r="F55" s="191"/>
      <c r="G55" s="157"/>
    </row>
    <row r="56" spans="2:7" x14ac:dyDescent="0.3">
      <c r="B56" s="160"/>
      <c r="C56" s="160"/>
      <c r="D56" s="164"/>
      <c r="E56" s="165"/>
      <c r="F56" s="191"/>
      <c r="G56" s="157"/>
    </row>
    <row r="57" spans="2:7" x14ac:dyDescent="0.3">
      <c r="B57" s="160"/>
      <c r="C57" s="160"/>
      <c r="D57" s="164"/>
      <c r="E57" s="165"/>
      <c r="F57" s="191"/>
      <c r="G57" s="157"/>
    </row>
    <row r="58" spans="2:7" x14ac:dyDescent="0.3">
      <c r="B58" s="160"/>
      <c r="C58" s="160"/>
      <c r="D58" s="164"/>
      <c r="E58" s="165"/>
      <c r="F58" s="191"/>
      <c r="G58" s="157"/>
    </row>
    <row r="59" spans="2:7" x14ac:dyDescent="0.3">
      <c r="B59" s="160"/>
      <c r="C59" s="160"/>
      <c r="D59" s="164"/>
      <c r="E59" s="165"/>
      <c r="F59" s="191"/>
      <c r="G59" s="157"/>
    </row>
    <row r="60" spans="2:7" x14ac:dyDescent="0.3">
      <c r="B60" s="160"/>
      <c r="C60" s="160"/>
      <c r="D60" s="164"/>
      <c r="E60" s="165"/>
      <c r="F60" s="191"/>
      <c r="G60" s="157"/>
    </row>
    <row r="61" spans="2:7" x14ac:dyDescent="0.3">
      <c r="B61" s="161"/>
      <c r="C61" s="161"/>
      <c r="D61" s="166"/>
      <c r="E61" s="167"/>
      <c r="F61" s="192"/>
      <c r="G61" s="158"/>
    </row>
    <row r="62" spans="2:7" ht="63.4" x14ac:dyDescent="0.3">
      <c r="B62" s="14" t="s">
        <v>361</v>
      </c>
      <c r="C62" s="14" t="s">
        <v>362</v>
      </c>
      <c r="D62" s="151" t="s">
        <v>166</v>
      </c>
      <c r="E62" s="151"/>
      <c r="F62" s="71" t="s">
        <v>229</v>
      </c>
      <c r="G62" s="68"/>
    </row>
    <row r="63" spans="2:7" x14ac:dyDescent="0.3">
      <c r="B63" s="14">
        <v>9001</v>
      </c>
      <c r="C63" s="14" t="s">
        <v>167</v>
      </c>
      <c r="D63" s="151" t="s">
        <v>154</v>
      </c>
      <c r="E63" s="151"/>
      <c r="F63" s="71" t="s">
        <v>159</v>
      </c>
      <c r="G63" s="68"/>
    </row>
    <row r="64" spans="2:7" ht="25.35" x14ac:dyDescent="0.3">
      <c r="B64" s="14">
        <v>9001</v>
      </c>
      <c r="C64" s="14" t="s">
        <v>168</v>
      </c>
      <c r="D64" s="151" t="s">
        <v>170</v>
      </c>
      <c r="E64" s="151"/>
      <c r="F64" s="71" t="s">
        <v>171</v>
      </c>
      <c r="G64" s="68"/>
    </row>
    <row r="65" spans="2:7" x14ac:dyDescent="0.3">
      <c r="B65" s="14">
        <v>9001</v>
      </c>
      <c r="C65" s="14" t="s">
        <v>169</v>
      </c>
      <c r="D65" s="151" t="s">
        <v>155</v>
      </c>
      <c r="E65" s="151"/>
      <c r="F65" s="71" t="s">
        <v>160</v>
      </c>
      <c r="G65" s="68"/>
    </row>
    <row r="66" spans="2:7" ht="78.05" customHeight="1" x14ac:dyDescent="0.3">
      <c r="B66" s="14">
        <v>9001</v>
      </c>
      <c r="C66" s="14" t="s">
        <v>386</v>
      </c>
      <c r="D66" s="151" t="s">
        <v>387</v>
      </c>
      <c r="E66" s="151"/>
      <c r="F66" s="71" t="s">
        <v>161</v>
      </c>
      <c r="G66" s="68"/>
    </row>
    <row r="67" spans="2:7" x14ac:dyDescent="0.3">
      <c r="B67" s="14">
        <v>9001</v>
      </c>
      <c r="C67" s="14" t="s">
        <v>98</v>
      </c>
      <c r="D67" s="151" t="s">
        <v>156</v>
      </c>
      <c r="E67" s="151"/>
      <c r="F67" s="71" t="s">
        <v>162</v>
      </c>
      <c r="G67" s="68"/>
    </row>
    <row r="68" spans="2:7" ht="25.35" x14ac:dyDescent="0.3">
      <c r="B68" s="14" t="s">
        <v>201</v>
      </c>
      <c r="C68" s="14" t="s">
        <v>242</v>
      </c>
      <c r="D68" s="151" t="s">
        <v>241</v>
      </c>
      <c r="E68" s="151"/>
      <c r="F68" s="71" t="s">
        <v>243</v>
      </c>
      <c r="G68" s="68"/>
    </row>
    <row r="69" spans="2:7" ht="25.35" x14ac:dyDescent="0.3">
      <c r="B69" s="14" t="s">
        <v>201</v>
      </c>
      <c r="C69" s="14" t="s">
        <v>244</v>
      </c>
      <c r="D69" s="151" t="s">
        <v>246</v>
      </c>
      <c r="E69" s="151"/>
      <c r="F69" s="71" t="s">
        <v>245</v>
      </c>
      <c r="G69" s="68"/>
    </row>
    <row r="70" spans="2:7" ht="25.35" x14ac:dyDescent="0.3">
      <c r="B70" s="14" t="s">
        <v>201</v>
      </c>
      <c r="C70" s="14" t="s">
        <v>247</v>
      </c>
      <c r="D70" s="151" t="s">
        <v>248</v>
      </c>
      <c r="E70" s="151"/>
      <c r="F70" s="71" t="s">
        <v>249</v>
      </c>
      <c r="G70" s="68"/>
    </row>
    <row r="71" spans="2:7" ht="25.35" x14ac:dyDescent="0.3">
      <c r="B71" s="14" t="s">
        <v>201</v>
      </c>
      <c r="C71" s="14" t="s">
        <v>250</v>
      </c>
      <c r="D71" s="151" t="s">
        <v>251</v>
      </c>
      <c r="E71" s="151"/>
      <c r="F71" s="71" t="s">
        <v>252</v>
      </c>
      <c r="G71" s="68"/>
    </row>
    <row r="72" spans="2:7" ht="25.35" x14ac:dyDescent="0.3">
      <c r="B72" s="14" t="s">
        <v>201</v>
      </c>
      <c r="C72" s="14" t="s">
        <v>253</v>
      </c>
      <c r="D72" s="151" t="s">
        <v>254</v>
      </c>
      <c r="E72" s="151"/>
      <c r="F72" s="71" t="s">
        <v>255</v>
      </c>
      <c r="G72" s="68"/>
    </row>
    <row r="73" spans="2:7" ht="25.35" x14ac:dyDescent="0.3">
      <c r="B73" s="14" t="s">
        <v>201</v>
      </c>
      <c r="C73" s="14" t="s">
        <v>256</v>
      </c>
      <c r="D73" s="151" t="s">
        <v>257</v>
      </c>
      <c r="E73" s="151"/>
      <c r="F73" s="71" t="s">
        <v>258</v>
      </c>
      <c r="G73" s="68"/>
    </row>
    <row r="74" spans="2:7" ht="25.35" x14ac:dyDescent="0.3">
      <c r="B74" s="14">
        <v>9001</v>
      </c>
      <c r="C74" s="14" t="s">
        <v>99</v>
      </c>
      <c r="D74" s="151" t="s">
        <v>174</v>
      </c>
      <c r="E74" s="151"/>
      <c r="F74" s="71" t="s">
        <v>175</v>
      </c>
      <c r="G74" s="68"/>
    </row>
    <row r="75" spans="2:7" ht="38.049999999999997" x14ac:dyDescent="0.3">
      <c r="B75" s="14" t="s">
        <v>307</v>
      </c>
      <c r="C75" s="14" t="s">
        <v>94</v>
      </c>
      <c r="D75" s="151" t="s">
        <v>163</v>
      </c>
      <c r="E75" s="151"/>
      <c r="F75" s="71" t="s">
        <v>164</v>
      </c>
      <c r="G75" s="68"/>
    </row>
    <row r="76" spans="2:7" ht="25.35" x14ac:dyDescent="0.3">
      <c r="B76" s="14">
        <v>37001</v>
      </c>
      <c r="C76" s="14" t="s">
        <v>94</v>
      </c>
      <c r="D76" s="151" t="s">
        <v>177</v>
      </c>
      <c r="E76" s="151"/>
      <c r="F76" s="71" t="s">
        <v>176</v>
      </c>
      <c r="G76" s="68"/>
    </row>
    <row r="77" spans="2:7" ht="25.35" x14ac:dyDescent="0.3">
      <c r="B77" s="14">
        <v>37001</v>
      </c>
      <c r="C77" s="14" t="s">
        <v>95</v>
      </c>
      <c r="D77" s="151" t="s">
        <v>178</v>
      </c>
      <c r="E77" s="151"/>
      <c r="F77" s="71" t="s">
        <v>180</v>
      </c>
      <c r="G77" s="68"/>
    </row>
    <row r="78" spans="2:7" ht="76.05" x14ac:dyDescent="0.3">
      <c r="B78" s="14">
        <v>37001</v>
      </c>
      <c r="C78" s="14" t="s">
        <v>96</v>
      </c>
      <c r="D78" s="151" t="s">
        <v>179</v>
      </c>
      <c r="E78" s="151"/>
      <c r="F78" s="71" t="s">
        <v>181</v>
      </c>
      <c r="G78" s="68"/>
    </row>
    <row r="79" spans="2:7" ht="38.049999999999997" x14ac:dyDescent="0.3">
      <c r="B79" s="14">
        <v>37001</v>
      </c>
      <c r="C79" s="14" t="s">
        <v>97</v>
      </c>
      <c r="D79" s="151" t="s">
        <v>183</v>
      </c>
      <c r="E79" s="151"/>
      <c r="F79" s="71" t="s">
        <v>184</v>
      </c>
      <c r="G79" s="68"/>
    </row>
    <row r="80" spans="2:7" ht="25.35" x14ac:dyDescent="0.3">
      <c r="B80" s="14">
        <v>37001</v>
      </c>
      <c r="C80" s="14" t="s">
        <v>98</v>
      </c>
      <c r="D80" s="151" t="s">
        <v>100</v>
      </c>
      <c r="E80" s="151"/>
      <c r="F80" s="71" t="s">
        <v>185</v>
      </c>
      <c r="G80" s="68"/>
    </row>
    <row r="81" spans="2:8" ht="25.35" x14ac:dyDescent="0.3">
      <c r="B81" s="14">
        <v>37001</v>
      </c>
      <c r="C81" s="14" t="s">
        <v>99</v>
      </c>
      <c r="D81" s="151" t="s">
        <v>101</v>
      </c>
      <c r="E81" s="151"/>
      <c r="F81" s="71" t="s">
        <v>186</v>
      </c>
      <c r="G81" s="68"/>
    </row>
    <row r="82" spans="2:8" ht="25.35" x14ac:dyDescent="0.3">
      <c r="B82" s="14">
        <v>37001</v>
      </c>
      <c r="C82" s="14" t="s">
        <v>102</v>
      </c>
      <c r="D82" s="151" t="s">
        <v>103</v>
      </c>
      <c r="E82" s="151"/>
      <c r="F82" s="71" t="s">
        <v>189</v>
      </c>
      <c r="G82" s="68"/>
    </row>
    <row r="83" spans="2:8" ht="38.049999999999997" x14ac:dyDescent="0.3">
      <c r="B83" s="14" t="s">
        <v>304</v>
      </c>
      <c r="C83" s="14" t="s">
        <v>194</v>
      </c>
      <c r="D83" s="151" t="s">
        <v>187</v>
      </c>
      <c r="E83" s="151"/>
      <c r="F83" s="71" t="s">
        <v>188</v>
      </c>
      <c r="G83" s="68"/>
    </row>
    <row r="84" spans="2:8" ht="76.05" x14ac:dyDescent="0.3">
      <c r="B84" s="14" t="s">
        <v>304</v>
      </c>
      <c r="C84" s="14" t="s">
        <v>195</v>
      </c>
      <c r="D84" s="151" t="s">
        <v>190</v>
      </c>
      <c r="E84" s="151"/>
      <c r="F84" s="71" t="s">
        <v>191</v>
      </c>
      <c r="G84" s="68"/>
    </row>
    <row r="87" spans="2:8" ht="15" thickBot="1" x14ac:dyDescent="0.35">
      <c r="E87" s="7" t="s">
        <v>3</v>
      </c>
      <c r="F87" s="7" t="s">
        <v>29</v>
      </c>
      <c r="G87" s="7" t="s">
        <v>2</v>
      </c>
      <c r="H87" s="8" t="s">
        <v>30</v>
      </c>
    </row>
    <row r="88" spans="2:8" x14ac:dyDescent="0.3">
      <c r="E88" s="67"/>
      <c r="F88" s="84"/>
      <c r="G88" s="61"/>
      <c r="H88" s="61"/>
    </row>
    <row r="89" spans="2:8" x14ac:dyDescent="0.3">
      <c r="E89" s="68"/>
      <c r="F89" s="68"/>
      <c r="G89" s="58"/>
      <c r="H89" s="58"/>
    </row>
    <row r="90" spans="2:8" x14ac:dyDescent="0.3">
      <c r="E90" s="68"/>
      <c r="F90" s="68"/>
      <c r="G90" s="58"/>
      <c r="H90" s="58"/>
    </row>
    <row r="91" spans="2:8" x14ac:dyDescent="0.3">
      <c r="E91" s="68"/>
      <c r="F91" s="68"/>
      <c r="G91" s="58"/>
      <c r="H91" s="58"/>
    </row>
    <row r="92" spans="2:8" x14ac:dyDescent="0.3">
      <c r="E92" s="68"/>
      <c r="F92" s="68"/>
      <c r="G92" s="58"/>
      <c r="H92" s="58"/>
    </row>
    <row r="93" spans="2:8" x14ac:dyDescent="0.3">
      <c r="E93" s="68"/>
      <c r="F93" s="68"/>
      <c r="G93" s="58"/>
      <c r="H93" s="58"/>
    </row>
    <row r="94" spans="2:8" x14ac:dyDescent="0.3">
      <c r="E94" s="69"/>
      <c r="F94" s="69"/>
      <c r="G94" s="64"/>
      <c r="H94" s="64"/>
    </row>
  </sheetData>
  <sheetProtection algorithmName="SHA-512" hashValue="7ep+8uWv67aQVrqvdbUmQ3SAeVI+Z3cLtk9sNPT1cJig+Z4evqlAWZMNkPQAYciu9p2W2NUL1dzAgg2Y79sCiQ==" saltValue="so2NMwwbGgIn3Nfgt/zaxg==" spinCount="100000" sheet="1" objects="1" scenarios="1" formatCells="0" formatColumns="0" formatRows="0"/>
  <mergeCells count="83">
    <mergeCell ref="D84:E84"/>
    <mergeCell ref="G14:G17"/>
    <mergeCell ref="D53:E53"/>
    <mergeCell ref="B54:B61"/>
    <mergeCell ref="C54:C61"/>
    <mergeCell ref="D54:E61"/>
    <mergeCell ref="F54:F61"/>
    <mergeCell ref="G54:G61"/>
    <mergeCell ref="D79:E79"/>
    <mergeCell ref="D80:E80"/>
    <mergeCell ref="D81:E81"/>
    <mergeCell ref="D82:E82"/>
    <mergeCell ref="D83:E83"/>
    <mergeCell ref="D74:E74"/>
    <mergeCell ref="D75:E75"/>
    <mergeCell ref="D76:E76"/>
    <mergeCell ref="D77:E77"/>
    <mergeCell ref="D78:E78"/>
    <mergeCell ref="B4:B9"/>
    <mergeCell ref="C4:C9"/>
    <mergeCell ref="D9:E9"/>
    <mergeCell ref="B10:B13"/>
    <mergeCell ref="C10:C13"/>
    <mergeCell ref="D10:E13"/>
    <mergeCell ref="D42:E42"/>
    <mergeCell ref="D44:E44"/>
    <mergeCell ref="D38:E38"/>
    <mergeCell ref="D27:E27"/>
    <mergeCell ref="D28:E28"/>
    <mergeCell ref="D29:E29"/>
    <mergeCell ref="D30:E30"/>
    <mergeCell ref="D31:E31"/>
    <mergeCell ref="F10:F13"/>
    <mergeCell ref="G10:G13"/>
    <mergeCell ref="B14:B17"/>
    <mergeCell ref="C14:C17"/>
    <mergeCell ref="D8:E8"/>
    <mergeCell ref="D14:E17"/>
    <mergeCell ref="F14:F17"/>
    <mergeCell ref="D3:F3"/>
    <mergeCell ref="D4:E4"/>
    <mergeCell ref="D5:E5"/>
    <mergeCell ref="D6:E6"/>
    <mergeCell ref="D7:E7"/>
    <mergeCell ref="D37:E37"/>
    <mergeCell ref="D26:E26"/>
    <mergeCell ref="D18:E18"/>
    <mergeCell ref="D19:E19"/>
    <mergeCell ref="D20:E20"/>
    <mergeCell ref="D21:E21"/>
    <mergeCell ref="D22:E22"/>
    <mergeCell ref="D23:E23"/>
    <mergeCell ref="D24:E24"/>
    <mergeCell ref="D25:E25"/>
    <mergeCell ref="D32:E32"/>
    <mergeCell ref="D33:E33"/>
    <mergeCell ref="D34:E34"/>
    <mergeCell ref="D35:E35"/>
    <mergeCell ref="D36:E36"/>
    <mergeCell ref="D66:E66"/>
    <mergeCell ref="D67:E67"/>
    <mergeCell ref="D68:E68"/>
    <mergeCell ref="D45:E45"/>
    <mergeCell ref="D46:E46"/>
    <mergeCell ref="D47:E47"/>
    <mergeCell ref="D48:E48"/>
    <mergeCell ref="D49:E49"/>
    <mergeCell ref="D72:E72"/>
    <mergeCell ref="D73:E73"/>
    <mergeCell ref="D50:E50"/>
    <mergeCell ref="D39:E39"/>
    <mergeCell ref="D40:E40"/>
    <mergeCell ref="D41:E41"/>
    <mergeCell ref="D62:E62"/>
    <mergeCell ref="D51:E51"/>
    <mergeCell ref="D52:E52"/>
    <mergeCell ref="D43:E43"/>
    <mergeCell ref="D71:E71"/>
    <mergeCell ref="D69:E69"/>
    <mergeCell ref="D70:E70"/>
    <mergeCell ref="D63:E63"/>
    <mergeCell ref="D64:E64"/>
    <mergeCell ref="D65:E65"/>
  </mergeCells>
  <dataValidations count="3">
    <dataValidation type="list" allowBlank="1" showInputMessage="1" showErrorMessage="1" sqref="H88:H94" xr:uid="{915F202A-EAF1-467B-9951-F0CBFCF46BEB}">
      <formula1>"NCMin, NCMagg, Oss"</formula1>
    </dataValidation>
    <dataValidation type="list" allowBlank="1" showInputMessage="1" showErrorMessage="1" sqref="G4:G10 G14:G84" xr:uid="{B970AA62-4961-4D39-9087-ADB1A4D714ED}">
      <formula1>"'CA,C,N/A"</formula1>
    </dataValidation>
    <dataValidation type="list" allowBlank="1" showInputMessage="1" showErrorMessage="1" sqref="G1:G2" xr:uid="{4F723A22-5973-4327-A592-37A59AA8C89E}">
      <formula1>#REF!</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9665F-54C8-4FF9-B07C-C841282ED86C}">
  <sheetPr codeName="Foglio13"/>
  <dimension ref="B2:H94"/>
  <sheetViews>
    <sheetView topLeftCell="A83" zoomScale="115" zoomScaleNormal="115" workbookViewId="0">
      <selection activeCell="C66" sqref="C66:E66"/>
    </sheetView>
  </sheetViews>
  <sheetFormatPr defaultRowHeight="14.4" x14ac:dyDescent="0.3"/>
  <cols>
    <col min="3" max="3" width="10.69921875" customWidth="1"/>
    <col min="5" max="5" width="24.69921875" customWidth="1"/>
    <col min="6" max="6" width="76.59765625" customWidth="1"/>
    <col min="7" max="7" width="19.296875" customWidth="1"/>
    <col min="10" max="10" width="67.59765625" customWidth="1"/>
    <col min="14" max="14" width="61.59765625" customWidth="1"/>
    <col min="18" max="18" width="0" hidden="1" customWidth="1"/>
  </cols>
  <sheetData>
    <row r="2" spans="2:7" ht="15" thickBot="1" x14ac:dyDescent="0.35"/>
    <row r="3" spans="2:7" s="30" customFormat="1" ht="43.8" thickBot="1" x14ac:dyDescent="0.35">
      <c r="B3" s="81" t="s">
        <v>2</v>
      </c>
      <c r="C3" s="82" t="s">
        <v>3</v>
      </c>
      <c r="D3" s="152" t="s">
        <v>379</v>
      </c>
      <c r="E3" s="152"/>
      <c r="F3" s="152"/>
      <c r="G3" s="83" t="s">
        <v>346</v>
      </c>
    </row>
    <row r="4" spans="2:7" s="80" customFormat="1" ht="38.049999999999997" x14ac:dyDescent="0.3">
      <c r="B4" s="168" t="s">
        <v>369</v>
      </c>
      <c r="C4" s="171" t="s">
        <v>363</v>
      </c>
      <c r="D4" s="151" t="s">
        <v>345</v>
      </c>
      <c r="E4" s="151"/>
      <c r="F4" s="93" t="s">
        <v>365</v>
      </c>
      <c r="G4" s="89" t="s">
        <v>352</v>
      </c>
    </row>
    <row r="5" spans="2:7" s="80" customFormat="1" ht="38.049999999999997" x14ac:dyDescent="0.3">
      <c r="B5" s="169"/>
      <c r="C5" s="160"/>
      <c r="D5" s="151" t="s">
        <v>364</v>
      </c>
      <c r="E5" s="151"/>
      <c r="F5" s="93" t="s">
        <v>368</v>
      </c>
      <c r="G5" s="89"/>
    </row>
    <row r="6" spans="2:7" ht="50.7" x14ac:dyDescent="0.3">
      <c r="B6" s="169"/>
      <c r="C6" s="160"/>
      <c r="D6" s="151" t="s">
        <v>366</v>
      </c>
      <c r="E6" s="151"/>
      <c r="F6" s="93" t="s">
        <v>367</v>
      </c>
      <c r="G6" s="87" t="s">
        <v>351</v>
      </c>
    </row>
    <row r="7" spans="2:7" x14ac:dyDescent="0.3">
      <c r="B7" s="169"/>
      <c r="C7" s="160"/>
      <c r="D7" s="151" t="s">
        <v>104</v>
      </c>
      <c r="E7" s="151"/>
      <c r="F7" s="93" t="s">
        <v>157</v>
      </c>
      <c r="G7" s="87" t="s">
        <v>351</v>
      </c>
    </row>
    <row r="8" spans="2:7" x14ac:dyDescent="0.3">
      <c r="B8" s="169"/>
      <c r="C8" s="160"/>
      <c r="D8" s="151" t="s">
        <v>105</v>
      </c>
      <c r="E8" s="151"/>
      <c r="F8" s="58"/>
      <c r="G8" s="87" t="s">
        <v>351</v>
      </c>
    </row>
    <row r="9" spans="2:7" ht="43.8" thickBot="1" x14ac:dyDescent="0.35">
      <c r="B9" s="170"/>
      <c r="C9" s="172"/>
      <c r="D9" s="173" t="s">
        <v>106</v>
      </c>
      <c r="E9" s="173"/>
      <c r="F9" s="86" t="s">
        <v>350</v>
      </c>
      <c r="G9" s="88" t="s">
        <v>351</v>
      </c>
    </row>
    <row r="10" spans="2:7" x14ac:dyDescent="0.3">
      <c r="B10" s="171" t="s">
        <v>357</v>
      </c>
      <c r="C10" s="171" t="s">
        <v>358</v>
      </c>
      <c r="D10" s="174" t="s">
        <v>359</v>
      </c>
      <c r="E10" s="175"/>
      <c r="F10" s="153" t="s">
        <v>158</v>
      </c>
      <c r="G10" s="156" t="s">
        <v>351</v>
      </c>
    </row>
    <row r="11" spans="2:7" x14ac:dyDescent="0.3">
      <c r="B11" s="160"/>
      <c r="C11" s="160"/>
      <c r="D11" s="164"/>
      <c r="E11" s="165"/>
      <c r="F11" s="154"/>
      <c r="G11" s="157"/>
    </row>
    <row r="12" spans="2:7" x14ac:dyDescent="0.3">
      <c r="B12" s="160"/>
      <c r="C12" s="160"/>
      <c r="D12" s="164"/>
      <c r="E12" s="165"/>
      <c r="F12" s="154"/>
      <c r="G12" s="157"/>
    </row>
    <row r="13" spans="2:7" x14ac:dyDescent="0.3">
      <c r="B13" s="161"/>
      <c r="C13" s="161"/>
      <c r="D13" s="166"/>
      <c r="E13" s="167"/>
      <c r="F13" s="155"/>
      <c r="G13" s="158"/>
    </row>
    <row r="14" spans="2:7" x14ac:dyDescent="0.3">
      <c r="B14" s="159" t="s">
        <v>372</v>
      </c>
      <c r="C14" s="159" t="s">
        <v>374</v>
      </c>
      <c r="D14" s="162" t="s">
        <v>344</v>
      </c>
      <c r="E14" s="163"/>
      <c r="F14" s="176" t="s">
        <v>349</v>
      </c>
      <c r="G14" s="179"/>
    </row>
    <row r="15" spans="2:7" x14ac:dyDescent="0.3">
      <c r="B15" s="160"/>
      <c r="C15" s="160"/>
      <c r="D15" s="164"/>
      <c r="E15" s="165"/>
      <c r="F15" s="177"/>
      <c r="G15" s="157"/>
    </row>
    <row r="16" spans="2:7" x14ac:dyDescent="0.3">
      <c r="B16" s="160"/>
      <c r="C16" s="160"/>
      <c r="D16" s="164"/>
      <c r="E16" s="165"/>
      <c r="F16" s="177"/>
      <c r="G16" s="157"/>
    </row>
    <row r="17" spans="2:7" x14ac:dyDescent="0.3">
      <c r="B17" s="161"/>
      <c r="C17" s="161"/>
      <c r="D17" s="166"/>
      <c r="E17" s="167"/>
      <c r="F17" s="178"/>
      <c r="G17" s="158"/>
    </row>
    <row r="18" spans="2:7" ht="63.4" x14ac:dyDescent="0.3">
      <c r="B18" s="14">
        <v>37301</v>
      </c>
      <c r="C18" s="14" t="s">
        <v>94</v>
      </c>
      <c r="D18" s="151" t="s">
        <v>193</v>
      </c>
      <c r="E18" s="151"/>
      <c r="F18" s="93" t="s">
        <v>192</v>
      </c>
      <c r="G18" s="68"/>
    </row>
    <row r="19" spans="2:7" ht="76.05" x14ac:dyDescent="0.3">
      <c r="B19" s="14" t="s">
        <v>201</v>
      </c>
      <c r="C19" s="14" t="s">
        <v>94</v>
      </c>
      <c r="D19" s="151" t="s">
        <v>259</v>
      </c>
      <c r="E19" s="151"/>
      <c r="F19" s="93" t="s">
        <v>260</v>
      </c>
      <c r="G19" s="68"/>
    </row>
    <row r="20" spans="2:7" ht="228.1" x14ac:dyDescent="0.3">
      <c r="B20" s="14" t="s">
        <v>201</v>
      </c>
      <c r="C20" s="14" t="s">
        <v>94</v>
      </c>
      <c r="D20" s="151" t="s">
        <v>202</v>
      </c>
      <c r="E20" s="151"/>
      <c r="F20" s="93" t="s">
        <v>203</v>
      </c>
      <c r="G20" s="68"/>
    </row>
    <row r="21" spans="2:7" ht="190.1" x14ac:dyDescent="0.3">
      <c r="B21" s="14" t="s">
        <v>201</v>
      </c>
      <c r="C21" s="14" t="s">
        <v>204</v>
      </c>
      <c r="D21" s="151" t="s">
        <v>205</v>
      </c>
      <c r="E21" s="151"/>
      <c r="F21" s="93" t="s">
        <v>209</v>
      </c>
      <c r="G21" s="68"/>
    </row>
    <row r="22" spans="2:7" ht="190.1" x14ac:dyDescent="0.3">
      <c r="B22" s="14" t="s">
        <v>201</v>
      </c>
      <c r="C22" s="14" t="s">
        <v>207</v>
      </c>
      <c r="D22" s="151" t="s">
        <v>206</v>
      </c>
      <c r="E22" s="151"/>
      <c r="F22" s="93" t="s">
        <v>208</v>
      </c>
      <c r="G22" s="68"/>
    </row>
    <row r="23" spans="2:7" ht="177.45" x14ac:dyDescent="0.3">
      <c r="B23" s="14" t="s">
        <v>201</v>
      </c>
      <c r="C23" s="14" t="s">
        <v>211</v>
      </c>
      <c r="D23" s="151" t="s">
        <v>210</v>
      </c>
      <c r="E23" s="151"/>
      <c r="F23" s="93" t="s">
        <v>212</v>
      </c>
      <c r="G23" s="68"/>
    </row>
    <row r="24" spans="2:7" ht="190.1" x14ac:dyDescent="0.3">
      <c r="B24" s="14" t="s">
        <v>201</v>
      </c>
      <c r="C24" s="14" t="s">
        <v>213</v>
      </c>
      <c r="D24" s="151" t="s">
        <v>214</v>
      </c>
      <c r="E24" s="151"/>
      <c r="F24" s="93" t="s">
        <v>215</v>
      </c>
      <c r="G24" s="68"/>
    </row>
    <row r="25" spans="2:7" ht="190.1" x14ac:dyDescent="0.3">
      <c r="B25" s="14" t="s">
        <v>201</v>
      </c>
      <c r="C25" s="14" t="s">
        <v>216</v>
      </c>
      <c r="D25" s="151" t="s">
        <v>218</v>
      </c>
      <c r="E25" s="151"/>
      <c r="F25" s="93" t="s">
        <v>217</v>
      </c>
      <c r="G25" s="68"/>
    </row>
    <row r="26" spans="2:7" ht="139.4" x14ac:dyDescent="0.3">
      <c r="B26" s="14">
        <v>50001</v>
      </c>
      <c r="C26" s="14" t="s">
        <v>94</v>
      </c>
      <c r="D26" s="151" t="s">
        <v>300</v>
      </c>
      <c r="E26" s="151"/>
      <c r="F26" s="93" t="s">
        <v>301</v>
      </c>
      <c r="G26" s="68"/>
    </row>
    <row r="27" spans="2:7" ht="139.4" x14ac:dyDescent="0.3">
      <c r="B27" s="14" t="s">
        <v>373</v>
      </c>
      <c r="C27" s="14" t="s">
        <v>375</v>
      </c>
      <c r="D27" s="151" t="s">
        <v>302</v>
      </c>
      <c r="E27" s="151"/>
      <c r="F27" s="93" t="s">
        <v>370</v>
      </c>
      <c r="G27" s="68"/>
    </row>
    <row r="28" spans="2:7" ht="215.45" x14ac:dyDescent="0.3">
      <c r="B28" s="14" t="s">
        <v>373</v>
      </c>
      <c r="C28" s="14" t="s">
        <v>376</v>
      </c>
      <c r="D28" s="151" t="s">
        <v>303</v>
      </c>
      <c r="E28" s="151"/>
      <c r="F28" s="93" t="s">
        <v>371</v>
      </c>
      <c r="G28" s="68"/>
    </row>
    <row r="29" spans="2:7" ht="25.35" x14ac:dyDescent="0.3">
      <c r="B29" s="14">
        <v>22301</v>
      </c>
      <c r="C29" s="14" t="s">
        <v>268</v>
      </c>
      <c r="D29" s="151" t="s">
        <v>266</v>
      </c>
      <c r="E29" s="151"/>
      <c r="F29" s="93" t="s">
        <v>267</v>
      </c>
      <c r="G29" s="68"/>
    </row>
    <row r="30" spans="2:7" ht="50.7" x14ac:dyDescent="0.3">
      <c r="B30" s="14">
        <v>22301</v>
      </c>
      <c r="C30" s="14" t="s">
        <v>204</v>
      </c>
      <c r="D30" s="151" t="s">
        <v>269</v>
      </c>
      <c r="E30" s="151"/>
      <c r="F30" s="93" t="s">
        <v>270</v>
      </c>
      <c r="G30" s="68"/>
    </row>
    <row r="31" spans="2:7" ht="50.7" x14ac:dyDescent="0.3">
      <c r="B31" s="14">
        <v>22301</v>
      </c>
      <c r="C31" s="14" t="s">
        <v>207</v>
      </c>
      <c r="D31" s="151" t="s">
        <v>271</v>
      </c>
      <c r="E31" s="151"/>
      <c r="F31" s="93" t="s">
        <v>272</v>
      </c>
      <c r="G31" s="68"/>
    </row>
    <row r="32" spans="2:7" ht="25.35" x14ac:dyDescent="0.3">
      <c r="B32" s="14">
        <v>22301</v>
      </c>
      <c r="C32" s="14" t="s">
        <v>219</v>
      </c>
      <c r="D32" s="151" t="s">
        <v>274</v>
      </c>
      <c r="E32" s="151"/>
      <c r="F32" s="93" t="s">
        <v>275</v>
      </c>
      <c r="G32" s="68"/>
    </row>
    <row r="33" spans="2:7" ht="25.35" x14ac:dyDescent="0.3">
      <c r="B33" s="14">
        <v>22301</v>
      </c>
      <c r="C33" s="14" t="s">
        <v>222</v>
      </c>
      <c r="D33" s="151" t="s">
        <v>276</v>
      </c>
      <c r="E33" s="151"/>
      <c r="F33" s="93" t="s">
        <v>277</v>
      </c>
      <c r="G33" s="68"/>
    </row>
    <row r="34" spans="2:7" ht="25.35" x14ac:dyDescent="0.3">
      <c r="B34" s="14">
        <v>22301</v>
      </c>
      <c r="C34" s="14" t="s">
        <v>225</v>
      </c>
      <c r="D34" s="151" t="s">
        <v>278</v>
      </c>
      <c r="E34" s="151"/>
      <c r="F34" s="93" t="s">
        <v>279</v>
      </c>
      <c r="G34" s="68"/>
    </row>
    <row r="35" spans="2:7" ht="25.35" x14ac:dyDescent="0.3">
      <c r="B35" s="14">
        <v>22301</v>
      </c>
      <c r="C35" s="14" t="s">
        <v>228</v>
      </c>
      <c r="D35" s="151" t="s">
        <v>280</v>
      </c>
      <c r="E35" s="151"/>
      <c r="F35" s="93" t="s">
        <v>281</v>
      </c>
      <c r="G35" s="68"/>
    </row>
    <row r="36" spans="2:7" ht="38.049999999999997" x14ac:dyDescent="0.3">
      <c r="B36" s="14">
        <v>22301</v>
      </c>
      <c r="C36" s="14" t="s">
        <v>273</v>
      </c>
      <c r="D36" s="151" t="s">
        <v>282</v>
      </c>
      <c r="E36" s="151"/>
      <c r="F36" s="93" t="s">
        <v>283</v>
      </c>
      <c r="G36" s="68"/>
    </row>
    <row r="37" spans="2:7" ht="25.35" x14ac:dyDescent="0.3">
      <c r="B37" s="14">
        <v>22301</v>
      </c>
      <c r="C37" s="14" t="s">
        <v>230</v>
      </c>
      <c r="D37" s="151" t="s">
        <v>286</v>
      </c>
      <c r="E37" s="151"/>
      <c r="F37" s="93" t="s">
        <v>287</v>
      </c>
      <c r="G37" s="68"/>
    </row>
    <row r="38" spans="2:7" ht="25.35" x14ac:dyDescent="0.3">
      <c r="B38" s="14">
        <v>22301</v>
      </c>
      <c r="C38" s="14" t="s">
        <v>233</v>
      </c>
      <c r="D38" s="151" t="s">
        <v>288</v>
      </c>
      <c r="E38" s="151"/>
      <c r="F38" s="93" t="s">
        <v>289</v>
      </c>
      <c r="G38" s="68"/>
    </row>
    <row r="39" spans="2:7" ht="25.35" x14ac:dyDescent="0.3">
      <c r="B39" s="14">
        <v>22301</v>
      </c>
      <c r="C39" s="14" t="s">
        <v>236</v>
      </c>
      <c r="D39" s="151" t="s">
        <v>290</v>
      </c>
      <c r="E39" s="151"/>
      <c r="F39" s="93" t="s">
        <v>291</v>
      </c>
      <c r="G39" s="68"/>
    </row>
    <row r="40" spans="2:7" ht="25.35" x14ac:dyDescent="0.3">
      <c r="B40" s="14">
        <v>22301</v>
      </c>
      <c r="C40" s="14" t="s">
        <v>284</v>
      </c>
      <c r="D40" s="151" t="s">
        <v>292</v>
      </c>
      <c r="E40" s="151"/>
      <c r="F40" s="93" t="s">
        <v>293</v>
      </c>
      <c r="G40" s="68"/>
    </row>
    <row r="41" spans="2:7" ht="25.35" x14ac:dyDescent="0.3">
      <c r="B41" s="14">
        <v>22301</v>
      </c>
      <c r="C41" s="14" t="s">
        <v>285</v>
      </c>
      <c r="D41" s="151" t="s">
        <v>294</v>
      </c>
      <c r="E41" s="151"/>
      <c r="F41" s="93" t="s">
        <v>295</v>
      </c>
      <c r="G41" s="68"/>
    </row>
    <row r="42" spans="2:7" ht="38.049999999999997" x14ac:dyDescent="0.3">
      <c r="B42" s="14">
        <v>22301</v>
      </c>
      <c r="C42" s="14" t="s">
        <v>97</v>
      </c>
      <c r="D42" s="151" t="s">
        <v>296</v>
      </c>
      <c r="E42" s="151"/>
      <c r="F42" s="93" t="s">
        <v>297</v>
      </c>
      <c r="G42" s="68"/>
    </row>
    <row r="43" spans="2:7" ht="38.049999999999997" x14ac:dyDescent="0.3">
      <c r="B43" s="14">
        <v>22301</v>
      </c>
      <c r="C43" s="14" t="s">
        <v>98</v>
      </c>
      <c r="D43" s="151" t="s">
        <v>298</v>
      </c>
      <c r="E43" s="151"/>
      <c r="F43" s="93" t="s">
        <v>299</v>
      </c>
      <c r="G43" s="68"/>
    </row>
    <row r="44" spans="2:7" ht="76.05" x14ac:dyDescent="0.3">
      <c r="B44" s="14">
        <v>42001</v>
      </c>
      <c r="C44" s="14" t="s">
        <v>94</v>
      </c>
      <c r="D44" s="151" t="s">
        <v>259</v>
      </c>
      <c r="E44" s="151"/>
      <c r="F44" s="93" t="s">
        <v>264</v>
      </c>
      <c r="G44" s="68"/>
    </row>
    <row r="45" spans="2:7" ht="76.05" x14ac:dyDescent="0.3">
      <c r="B45" s="14">
        <v>42001</v>
      </c>
      <c r="C45" s="14" t="s">
        <v>95</v>
      </c>
      <c r="D45" s="151" t="s">
        <v>261</v>
      </c>
      <c r="E45" s="151"/>
      <c r="F45" s="93" t="s">
        <v>262</v>
      </c>
      <c r="G45" s="68"/>
    </row>
    <row r="46" spans="2:7" ht="88.7" x14ac:dyDescent="0.3">
      <c r="B46" s="14">
        <v>42001</v>
      </c>
      <c r="C46" s="14" t="s">
        <v>265</v>
      </c>
      <c r="D46" s="151" t="s">
        <v>198</v>
      </c>
      <c r="E46" s="151"/>
      <c r="F46" s="93" t="s">
        <v>263</v>
      </c>
      <c r="G46" s="68"/>
    </row>
    <row r="47" spans="2:7" ht="25.35" x14ac:dyDescent="0.3">
      <c r="B47" s="14" t="s">
        <v>201</v>
      </c>
      <c r="C47" s="14" t="s">
        <v>219</v>
      </c>
      <c r="D47" s="151" t="s">
        <v>220</v>
      </c>
      <c r="E47" s="151"/>
      <c r="F47" s="93" t="s">
        <v>221</v>
      </c>
      <c r="G47" s="68"/>
    </row>
    <row r="48" spans="2:7" ht="25.35" x14ac:dyDescent="0.3">
      <c r="B48" s="14" t="s">
        <v>201</v>
      </c>
      <c r="C48" s="14" t="s">
        <v>222</v>
      </c>
      <c r="D48" s="151" t="s">
        <v>223</v>
      </c>
      <c r="E48" s="151"/>
      <c r="F48" s="93" t="s">
        <v>224</v>
      </c>
      <c r="G48" s="68"/>
    </row>
    <row r="49" spans="2:7" ht="25.35" x14ac:dyDescent="0.3">
      <c r="B49" s="14" t="s">
        <v>201</v>
      </c>
      <c r="C49" s="14" t="s">
        <v>225</v>
      </c>
      <c r="D49" s="151" t="s">
        <v>227</v>
      </c>
      <c r="E49" s="151"/>
      <c r="F49" s="93" t="s">
        <v>226</v>
      </c>
      <c r="G49" s="68"/>
    </row>
    <row r="50" spans="2:7" ht="25.35" x14ac:dyDescent="0.3">
      <c r="B50" s="14" t="s">
        <v>201</v>
      </c>
      <c r="C50" s="14" t="s">
        <v>230</v>
      </c>
      <c r="D50" s="151" t="s">
        <v>231</v>
      </c>
      <c r="E50" s="151"/>
      <c r="F50" s="93" t="s">
        <v>232</v>
      </c>
      <c r="G50" s="68"/>
    </row>
    <row r="51" spans="2:7" ht="25.35" x14ac:dyDescent="0.3">
      <c r="B51" s="14" t="s">
        <v>201</v>
      </c>
      <c r="C51" s="14" t="s">
        <v>233</v>
      </c>
      <c r="D51" s="151" t="s">
        <v>234</v>
      </c>
      <c r="E51" s="151"/>
      <c r="F51" s="93" t="s">
        <v>235</v>
      </c>
      <c r="G51" s="68"/>
    </row>
    <row r="52" spans="2:7" ht="25.35" x14ac:dyDescent="0.3">
      <c r="B52" s="14" t="s">
        <v>201</v>
      </c>
      <c r="C52" s="14" t="s">
        <v>236</v>
      </c>
      <c r="D52" s="151" t="s">
        <v>237</v>
      </c>
      <c r="E52" s="151"/>
      <c r="F52" s="93" t="s">
        <v>238</v>
      </c>
      <c r="G52" s="68"/>
    </row>
    <row r="53" spans="2:7" x14ac:dyDescent="0.3">
      <c r="B53" s="14" t="s">
        <v>201</v>
      </c>
      <c r="C53" s="14" t="s">
        <v>165</v>
      </c>
      <c r="D53" s="151" t="s">
        <v>239</v>
      </c>
      <c r="E53" s="151"/>
      <c r="F53" s="93" t="s">
        <v>240</v>
      </c>
      <c r="G53" s="68"/>
    </row>
    <row r="54" spans="2:7" x14ac:dyDescent="0.3">
      <c r="B54" s="159">
        <v>9001</v>
      </c>
      <c r="C54" s="159" t="s">
        <v>165</v>
      </c>
      <c r="D54" s="162" t="s">
        <v>172</v>
      </c>
      <c r="E54" s="163"/>
      <c r="F54" s="180" t="s">
        <v>173</v>
      </c>
      <c r="G54" s="183"/>
    </row>
    <row r="55" spans="2:7" x14ac:dyDescent="0.3">
      <c r="B55" s="160"/>
      <c r="C55" s="160"/>
      <c r="D55" s="164"/>
      <c r="E55" s="165"/>
      <c r="F55" s="181"/>
      <c r="G55" s="157"/>
    </row>
    <row r="56" spans="2:7" x14ac:dyDescent="0.3">
      <c r="B56" s="160"/>
      <c r="C56" s="160"/>
      <c r="D56" s="164"/>
      <c r="E56" s="165"/>
      <c r="F56" s="181"/>
      <c r="G56" s="157"/>
    </row>
    <row r="57" spans="2:7" x14ac:dyDescent="0.3">
      <c r="B57" s="160"/>
      <c r="C57" s="160"/>
      <c r="D57" s="164"/>
      <c r="E57" s="165"/>
      <c r="F57" s="181"/>
      <c r="G57" s="157"/>
    </row>
    <row r="58" spans="2:7" x14ac:dyDescent="0.3">
      <c r="B58" s="160"/>
      <c r="C58" s="160"/>
      <c r="D58" s="164"/>
      <c r="E58" s="165"/>
      <c r="F58" s="181"/>
      <c r="G58" s="157"/>
    </row>
    <row r="59" spans="2:7" x14ac:dyDescent="0.3">
      <c r="B59" s="160"/>
      <c r="C59" s="160"/>
      <c r="D59" s="164"/>
      <c r="E59" s="165"/>
      <c r="F59" s="181"/>
      <c r="G59" s="157"/>
    </row>
    <row r="60" spans="2:7" x14ac:dyDescent="0.3">
      <c r="B60" s="160"/>
      <c r="C60" s="160"/>
      <c r="D60" s="164"/>
      <c r="E60" s="165"/>
      <c r="F60" s="181"/>
      <c r="G60" s="157"/>
    </row>
    <row r="61" spans="2:7" x14ac:dyDescent="0.3">
      <c r="B61" s="161"/>
      <c r="C61" s="161"/>
      <c r="D61" s="166"/>
      <c r="E61" s="167"/>
      <c r="F61" s="182"/>
      <c r="G61" s="158"/>
    </row>
    <row r="62" spans="2:7" ht="63.4" x14ac:dyDescent="0.3">
      <c r="B62" s="14" t="s">
        <v>361</v>
      </c>
      <c r="C62" s="14" t="s">
        <v>362</v>
      </c>
      <c r="D62" s="151" t="s">
        <v>166</v>
      </c>
      <c r="E62" s="151"/>
      <c r="F62" s="93" t="s">
        <v>229</v>
      </c>
      <c r="G62" s="68"/>
    </row>
    <row r="63" spans="2:7" x14ac:dyDescent="0.3">
      <c r="B63" s="14">
        <v>9001</v>
      </c>
      <c r="C63" s="14" t="s">
        <v>167</v>
      </c>
      <c r="D63" s="151" t="s">
        <v>154</v>
      </c>
      <c r="E63" s="151"/>
      <c r="F63" s="93" t="s">
        <v>159</v>
      </c>
      <c r="G63" s="68"/>
    </row>
    <row r="64" spans="2:7" ht="25.35" x14ac:dyDescent="0.3">
      <c r="B64" s="14">
        <v>9001</v>
      </c>
      <c r="C64" s="14" t="s">
        <v>168</v>
      </c>
      <c r="D64" s="151" t="s">
        <v>170</v>
      </c>
      <c r="E64" s="151"/>
      <c r="F64" s="93" t="s">
        <v>171</v>
      </c>
      <c r="G64" s="68"/>
    </row>
    <row r="65" spans="2:7" x14ac:dyDescent="0.3">
      <c r="B65" s="14">
        <v>9001</v>
      </c>
      <c r="C65" s="14" t="s">
        <v>169</v>
      </c>
      <c r="D65" s="151" t="s">
        <v>155</v>
      </c>
      <c r="E65" s="151"/>
      <c r="F65" s="93" t="s">
        <v>160</v>
      </c>
      <c r="G65" s="68"/>
    </row>
    <row r="66" spans="2:7" ht="73.45" customHeight="1" x14ac:dyDescent="0.3">
      <c r="B66" s="14">
        <v>9001</v>
      </c>
      <c r="C66" s="14" t="s">
        <v>386</v>
      </c>
      <c r="D66" s="151" t="s">
        <v>387</v>
      </c>
      <c r="E66" s="151"/>
      <c r="F66" s="93" t="s">
        <v>161</v>
      </c>
      <c r="G66" s="68"/>
    </row>
    <row r="67" spans="2:7" x14ac:dyDescent="0.3">
      <c r="B67" s="14">
        <v>9001</v>
      </c>
      <c r="C67" s="14" t="s">
        <v>98</v>
      </c>
      <c r="D67" s="151" t="s">
        <v>156</v>
      </c>
      <c r="E67" s="151"/>
      <c r="F67" s="93" t="s">
        <v>162</v>
      </c>
      <c r="G67" s="68"/>
    </row>
    <row r="68" spans="2:7" ht="25.35" x14ac:dyDescent="0.3">
      <c r="B68" s="14" t="s">
        <v>201</v>
      </c>
      <c r="C68" s="14" t="s">
        <v>242</v>
      </c>
      <c r="D68" s="151" t="s">
        <v>241</v>
      </c>
      <c r="E68" s="151"/>
      <c r="F68" s="93" t="s">
        <v>243</v>
      </c>
      <c r="G68" s="68"/>
    </row>
    <row r="69" spans="2:7" ht="25.35" x14ac:dyDescent="0.3">
      <c r="B69" s="14" t="s">
        <v>201</v>
      </c>
      <c r="C69" s="14" t="s">
        <v>244</v>
      </c>
      <c r="D69" s="151" t="s">
        <v>246</v>
      </c>
      <c r="E69" s="151"/>
      <c r="F69" s="93" t="s">
        <v>245</v>
      </c>
      <c r="G69" s="68"/>
    </row>
    <row r="70" spans="2:7" ht="25.35" x14ac:dyDescent="0.3">
      <c r="B70" s="14" t="s">
        <v>201</v>
      </c>
      <c r="C70" s="14" t="s">
        <v>247</v>
      </c>
      <c r="D70" s="151" t="s">
        <v>248</v>
      </c>
      <c r="E70" s="151"/>
      <c r="F70" s="93" t="s">
        <v>249</v>
      </c>
      <c r="G70" s="68"/>
    </row>
    <row r="71" spans="2:7" ht="25.35" x14ac:dyDescent="0.3">
      <c r="B71" s="14" t="s">
        <v>201</v>
      </c>
      <c r="C71" s="14" t="s">
        <v>250</v>
      </c>
      <c r="D71" s="151" t="s">
        <v>251</v>
      </c>
      <c r="E71" s="151"/>
      <c r="F71" s="93" t="s">
        <v>252</v>
      </c>
      <c r="G71" s="68"/>
    </row>
    <row r="72" spans="2:7" ht="25.35" x14ac:dyDescent="0.3">
      <c r="B72" s="14" t="s">
        <v>201</v>
      </c>
      <c r="C72" s="14" t="s">
        <v>253</v>
      </c>
      <c r="D72" s="151" t="s">
        <v>254</v>
      </c>
      <c r="E72" s="151"/>
      <c r="F72" s="93" t="s">
        <v>255</v>
      </c>
      <c r="G72" s="68"/>
    </row>
    <row r="73" spans="2:7" ht="25.35" x14ac:dyDescent="0.3">
      <c r="B73" s="14" t="s">
        <v>201</v>
      </c>
      <c r="C73" s="14" t="s">
        <v>256</v>
      </c>
      <c r="D73" s="151" t="s">
        <v>257</v>
      </c>
      <c r="E73" s="151"/>
      <c r="F73" s="93" t="s">
        <v>258</v>
      </c>
      <c r="G73" s="68"/>
    </row>
    <row r="74" spans="2:7" ht="25.35" x14ac:dyDescent="0.3">
      <c r="B74" s="14">
        <v>9001</v>
      </c>
      <c r="C74" s="14" t="s">
        <v>99</v>
      </c>
      <c r="D74" s="151" t="s">
        <v>174</v>
      </c>
      <c r="E74" s="151"/>
      <c r="F74" s="93" t="s">
        <v>175</v>
      </c>
      <c r="G74" s="68"/>
    </row>
    <row r="75" spans="2:7" ht="38.049999999999997" x14ac:dyDescent="0.3">
      <c r="B75" s="14" t="s">
        <v>307</v>
      </c>
      <c r="C75" s="14" t="s">
        <v>94</v>
      </c>
      <c r="D75" s="151" t="s">
        <v>163</v>
      </c>
      <c r="E75" s="151"/>
      <c r="F75" s="93" t="s">
        <v>164</v>
      </c>
      <c r="G75" s="68"/>
    </row>
    <row r="76" spans="2:7" ht="25.35" x14ac:dyDescent="0.3">
      <c r="B76" s="14">
        <v>37001</v>
      </c>
      <c r="C76" s="14" t="s">
        <v>94</v>
      </c>
      <c r="D76" s="151" t="s">
        <v>177</v>
      </c>
      <c r="E76" s="151"/>
      <c r="F76" s="93" t="s">
        <v>176</v>
      </c>
      <c r="G76" s="68"/>
    </row>
    <row r="77" spans="2:7" ht="25.35" x14ac:dyDescent="0.3">
      <c r="B77" s="14">
        <v>37001</v>
      </c>
      <c r="C77" s="14" t="s">
        <v>95</v>
      </c>
      <c r="D77" s="151" t="s">
        <v>178</v>
      </c>
      <c r="E77" s="151"/>
      <c r="F77" s="93" t="s">
        <v>180</v>
      </c>
      <c r="G77" s="68"/>
    </row>
    <row r="78" spans="2:7" ht="76.05" x14ac:dyDescent="0.3">
      <c r="B78" s="14">
        <v>37001</v>
      </c>
      <c r="C78" s="14" t="s">
        <v>96</v>
      </c>
      <c r="D78" s="151" t="s">
        <v>179</v>
      </c>
      <c r="E78" s="151"/>
      <c r="F78" s="93" t="s">
        <v>181</v>
      </c>
      <c r="G78" s="68"/>
    </row>
    <row r="79" spans="2:7" ht="38.049999999999997" x14ac:dyDescent="0.3">
      <c r="B79" s="14">
        <v>37001</v>
      </c>
      <c r="C79" s="14" t="s">
        <v>97</v>
      </c>
      <c r="D79" s="151" t="s">
        <v>183</v>
      </c>
      <c r="E79" s="151"/>
      <c r="F79" s="93" t="s">
        <v>184</v>
      </c>
      <c r="G79" s="68"/>
    </row>
    <row r="80" spans="2:7" ht="25.35" x14ac:dyDescent="0.3">
      <c r="B80" s="14">
        <v>37001</v>
      </c>
      <c r="C80" s="14" t="s">
        <v>98</v>
      </c>
      <c r="D80" s="151" t="s">
        <v>100</v>
      </c>
      <c r="E80" s="151"/>
      <c r="F80" s="93" t="s">
        <v>185</v>
      </c>
      <c r="G80" s="68"/>
    </row>
    <row r="81" spans="2:8" ht="25.35" x14ac:dyDescent="0.3">
      <c r="B81" s="14">
        <v>37001</v>
      </c>
      <c r="C81" s="14" t="s">
        <v>99</v>
      </c>
      <c r="D81" s="151" t="s">
        <v>101</v>
      </c>
      <c r="E81" s="151"/>
      <c r="F81" s="93" t="s">
        <v>186</v>
      </c>
      <c r="G81" s="68"/>
    </row>
    <row r="82" spans="2:8" ht="25.35" x14ac:dyDescent="0.3">
      <c r="B82" s="14">
        <v>37001</v>
      </c>
      <c r="C82" s="14" t="s">
        <v>102</v>
      </c>
      <c r="D82" s="151" t="s">
        <v>103</v>
      </c>
      <c r="E82" s="151"/>
      <c r="F82" s="93" t="s">
        <v>189</v>
      </c>
      <c r="G82" s="68"/>
    </row>
    <row r="83" spans="2:8" ht="38.049999999999997" x14ac:dyDescent="0.3">
      <c r="B83" s="14" t="s">
        <v>304</v>
      </c>
      <c r="C83" s="14" t="s">
        <v>194</v>
      </c>
      <c r="D83" s="151" t="s">
        <v>187</v>
      </c>
      <c r="E83" s="151"/>
      <c r="F83" s="93" t="s">
        <v>188</v>
      </c>
      <c r="G83" s="68"/>
    </row>
    <row r="84" spans="2:8" ht="76.05" x14ac:dyDescent="0.3">
      <c r="B84" s="14" t="s">
        <v>304</v>
      </c>
      <c r="C84" s="14" t="s">
        <v>195</v>
      </c>
      <c r="D84" s="151" t="s">
        <v>190</v>
      </c>
      <c r="E84" s="151"/>
      <c r="F84" s="93" t="s">
        <v>191</v>
      </c>
      <c r="G84" s="68"/>
    </row>
    <row r="87" spans="2:8" ht="15" thickBot="1" x14ac:dyDescent="0.35">
      <c r="E87" s="7" t="s">
        <v>3</v>
      </c>
      <c r="F87" s="7" t="s">
        <v>29</v>
      </c>
      <c r="G87" s="7" t="s">
        <v>2</v>
      </c>
      <c r="H87" s="8" t="s">
        <v>30</v>
      </c>
    </row>
    <row r="88" spans="2:8" x14ac:dyDescent="0.3">
      <c r="E88" s="67"/>
      <c r="F88" s="84"/>
      <c r="G88" s="61"/>
      <c r="H88" s="61"/>
    </row>
    <row r="89" spans="2:8" x14ac:dyDescent="0.3">
      <c r="E89" s="68"/>
      <c r="F89" s="68"/>
      <c r="G89" s="58"/>
      <c r="H89" s="58"/>
    </row>
    <row r="90" spans="2:8" x14ac:dyDescent="0.3">
      <c r="E90" s="68"/>
      <c r="F90" s="68"/>
      <c r="G90" s="58"/>
      <c r="H90" s="58"/>
    </row>
    <row r="91" spans="2:8" x14ac:dyDescent="0.3">
      <c r="E91" s="68"/>
      <c r="F91" s="68"/>
      <c r="G91" s="58"/>
      <c r="H91" s="58"/>
    </row>
    <row r="92" spans="2:8" x14ac:dyDescent="0.3">
      <c r="E92" s="68"/>
      <c r="F92" s="68"/>
      <c r="G92" s="58"/>
      <c r="H92" s="58"/>
    </row>
    <row r="93" spans="2:8" x14ac:dyDescent="0.3">
      <c r="E93" s="68"/>
      <c r="F93" s="68"/>
      <c r="G93" s="58"/>
      <c r="H93" s="58"/>
    </row>
    <row r="94" spans="2:8" x14ac:dyDescent="0.3">
      <c r="E94" s="69"/>
      <c r="F94" s="69"/>
      <c r="G94" s="64"/>
      <c r="H94" s="64"/>
    </row>
  </sheetData>
  <sheetProtection algorithmName="SHA-512" hashValue="mN7Z2GR60AQHcuutVDhjB7MszLcKJ6SVupejWAgWn/0iGMiPOK8wwvqLAWgC+oYYT6jZTVvXDsvsUOy5UW5+VA==" saltValue="HVDIB5jEewes/5jqQ/vA9w==" spinCount="100000" sheet="1" objects="1" scenarios="1" formatCells="0" formatColumns="0" formatRows="0"/>
  <mergeCells count="83">
    <mergeCell ref="D84:E84"/>
    <mergeCell ref="D79:E79"/>
    <mergeCell ref="D80:E80"/>
    <mergeCell ref="D81:E81"/>
    <mergeCell ref="D82:E82"/>
    <mergeCell ref="D83:E83"/>
    <mergeCell ref="D74:E74"/>
    <mergeCell ref="D75:E75"/>
    <mergeCell ref="D76:E76"/>
    <mergeCell ref="D77:E77"/>
    <mergeCell ref="D78:E78"/>
    <mergeCell ref="D53:E53"/>
    <mergeCell ref="B54:B61"/>
    <mergeCell ref="C54:C61"/>
    <mergeCell ref="D54:E61"/>
    <mergeCell ref="F54:F61"/>
    <mergeCell ref="G54:G61"/>
    <mergeCell ref="B10:B13"/>
    <mergeCell ref="C10:C13"/>
    <mergeCell ref="D10:E13"/>
    <mergeCell ref="F10:F13"/>
    <mergeCell ref="G10:G13"/>
    <mergeCell ref="B14:B17"/>
    <mergeCell ref="C14:C17"/>
    <mergeCell ref="D14:E17"/>
    <mergeCell ref="F14:F17"/>
    <mergeCell ref="G14:G17"/>
    <mergeCell ref="D44:E44"/>
    <mergeCell ref="D45:E45"/>
    <mergeCell ref="D46:E46"/>
    <mergeCell ref="D47:E47"/>
    <mergeCell ref="D32:E32"/>
    <mergeCell ref="D8:E8"/>
    <mergeCell ref="B4:B9"/>
    <mergeCell ref="C4:C9"/>
    <mergeCell ref="D9:E9"/>
    <mergeCell ref="D69:E69"/>
    <mergeCell ref="D62:E62"/>
    <mergeCell ref="D51:E51"/>
    <mergeCell ref="D52:E52"/>
    <mergeCell ref="D50:E50"/>
    <mergeCell ref="D48:E48"/>
    <mergeCell ref="D39:E39"/>
    <mergeCell ref="D40:E40"/>
    <mergeCell ref="D41:E41"/>
    <mergeCell ref="D42:E42"/>
    <mergeCell ref="D43:E43"/>
    <mergeCell ref="D37:E37"/>
    <mergeCell ref="D70:E70"/>
    <mergeCell ref="D63:E63"/>
    <mergeCell ref="D64:E64"/>
    <mergeCell ref="D65:E65"/>
    <mergeCell ref="D66:E66"/>
    <mergeCell ref="D67:E67"/>
    <mergeCell ref="D68:E68"/>
    <mergeCell ref="D35:E35"/>
    <mergeCell ref="D36:E36"/>
    <mergeCell ref="D27:E27"/>
    <mergeCell ref="D28:E28"/>
    <mergeCell ref="D29:E29"/>
    <mergeCell ref="D30:E30"/>
    <mergeCell ref="D31:E31"/>
    <mergeCell ref="D3:F3"/>
    <mergeCell ref="D4:E4"/>
    <mergeCell ref="D5:E5"/>
    <mergeCell ref="D6:E6"/>
    <mergeCell ref="D7:E7"/>
    <mergeCell ref="D71:E71"/>
    <mergeCell ref="D72:E72"/>
    <mergeCell ref="D73:E73"/>
    <mergeCell ref="D26:E26"/>
    <mergeCell ref="D18:E18"/>
    <mergeCell ref="D19:E19"/>
    <mergeCell ref="D20:E20"/>
    <mergeCell ref="D21:E21"/>
    <mergeCell ref="D22:E22"/>
    <mergeCell ref="D23:E23"/>
    <mergeCell ref="D49:E49"/>
    <mergeCell ref="D24:E24"/>
    <mergeCell ref="D25:E25"/>
    <mergeCell ref="D38:E38"/>
    <mergeCell ref="D33:E33"/>
    <mergeCell ref="D34:E34"/>
  </mergeCells>
  <dataValidations count="3">
    <dataValidation type="list" allowBlank="1" showInputMessage="1" showErrorMessage="1" sqref="G4:G10 G14:G84" xr:uid="{84E19FCC-2FD8-4A72-B065-20E3CA35240A}">
      <formula1>"'CA,C,N/A"</formula1>
    </dataValidation>
    <dataValidation type="list" allowBlank="1" showInputMessage="1" showErrorMessage="1" sqref="H88:H94" xr:uid="{60AE27D5-C289-4617-97BF-822E5558883D}">
      <formula1>"NCMin, NCMagg, Oss"</formula1>
    </dataValidation>
    <dataValidation type="list" allowBlank="1" showInputMessage="1" showErrorMessage="1" sqref="G1:G2" xr:uid="{1A357050-33D1-4A2B-A493-D3C22C0E2F7E}">
      <formula1>#REF!</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D948A-FCF0-41EA-B4D4-B38649ED9062}">
  <sheetPr codeName="Foglio14"/>
  <dimension ref="B2:H94"/>
  <sheetViews>
    <sheetView topLeftCell="A83" workbookViewId="0">
      <selection activeCell="C66" sqref="C66:E66"/>
    </sheetView>
  </sheetViews>
  <sheetFormatPr defaultRowHeight="14.4" x14ac:dyDescent="0.3"/>
  <cols>
    <col min="3" max="3" width="10.69921875" customWidth="1"/>
    <col min="5" max="5" width="13.296875" customWidth="1"/>
    <col min="6" max="6" width="76.59765625" customWidth="1"/>
    <col min="7" max="7" width="19.296875" customWidth="1"/>
    <col min="10" max="10" width="67.59765625" customWidth="1"/>
    <col min="14" max="14" width="61.59765625" customWidth="1"/>
    <col min="18" max="18" width="0" hidden="1" customWidth="1"/>
  </cols>
  <sheetData>
    <row r="2" spans="2:7" ht="15" thickBot="1" x14ac:dyDescent="0.35"/>
    <row r="3" spans="2:7" s="30" customFormat="1" ht="43.8" thickBot="1" x14ac:dyDescent="0.35">
      <c r="B3" s="81" t="s">
        <v>2</v>
      </c>
      <c r="C3" s="82" t="s">
        <v>3</v>
      </c>
      <c r="D3" s="152" t="s">
        <v>380</v>
      </c>
      <c r="E3" s="152"/>
      <c r="F3" s="152"/>
      <c r="G3" s="83" t="s">
        <v>346</v>
      </c>
    </row>
    <row r="4" spans="2:7" s="80" customFormat="1" ht="38.049999999999997" x14ac:dyDescent="0.3">
      <c r="B4" s="168" t="s">
        <v>369</v>
      </c>
      <c r="C4" s="171" t="s">
        <v>363</v>
      </c>
      <c r="D4" s="151" t="s">
        <v>345</v>
      </c>
      <c r="E4" s="151"/>
      <c r="F4" s="93" t="s">
        <v>365</v>
      </c>
      <c r="G4" s="89" t="s">
        <v>352</v>
      </c>
    </row>
    <row r="5" spans="2:7" s="80" customFormat="1" ht="38.049999999999997" x14ac:dyDescent="0.3">
      <c r="B5" s="169"/>
      <c r="C5" s="160"/>
      <c r="D5" s="151" t="s">
        <v>364</v>
      </c>
      <c r="E5" s="151"/>
      <c r="F5" s="93" t="s">
        <v>368</v>
      </c>
      <c r="G5" s="89"/>
    </row>
    <row r="6" spans="2:7" ht="50.7" x14ac:dyDescent="0.3">
      <c r="B6" s="169"/>
      <c r="C6" s="160"/>
      <c r="D6" s="151" t="s">
        <v>366</v>
      </c>
      <c r="E6" s="151"/>
      <c r="F6" s="93" t="s">
        <v>367</v>
      </c>
      <c r="G6" s="87" t="s">
        <v>351</v>
      </c>
    </row>
    <row r="7" spans="2:7" x14ac:dyDescent="0.3">
      <c r="B7" s="169"/>
      <c r="C7" s="160"/>
      <c r="D7" s="151" t="s">
        <v>104</v>
      </c>
      <c r="E7" s="151"/>
      <c r="F7" s="93" t="s">
        <v>157</v>
      </c>
      <c r="G7" s="87" t="s">
        <v>351</v>
      </c>
    </row>
    <row r="8" spans="2:7" x14ac:dyDescent="0.3">
      <c r="B8" s="169"/>
      <c r="C8" s="160"/>
      <c r="D8" s="151" t="s">
        <v>105</v>
      </c>
      <c r="E8" s="151"/>
      <c r="F8" s="58"/>
      <c r="G8" s="87" t="s">
        <v>351</v>
      </c>
    </row>
    <row r="9" spans="2:7" ht="43.8" thickBot="1" x14ac:dyDescent="0.35">
      <c r="B9" s="170"/>
      <c r="C9" s="172"/>
      <c r="D9" s="173" t="s">
        <v>106</v>
      </c>
      <c r="E9" s="173"/>
      <c r="F9" s="86" t="s">
        <v>350</v>
      </c>
      <c r="G9" s="88" t="s">
        <v>351</v>
      </c>
    </row>
    <row r="10" spans="2:7" x14ac:dyDescent="0.3">
      <c r="B10" s="171" t="s">
        <v>357</v>
      </c>
      <c r="C10" s="171" t="s">
        <v>358</v>
      </c>
      <c r="D10" s="174" t="s">
        <v>359</v>
      </c>
      <c r="E10" s="175"/>
      <c r="F10" s="153" t="s">
        <v>158</v>
      </c>
      <c r="G10" s="156" t="s">
        <v>351</v>
      </c>
    </row>
    <row r="11" spans="2:7" x14ac:dyDescent="0.3">
      <c r="B11" s="160"/>
      <c r="C11" s="160"/>
      <c r="D11" s="164"/>
      <c r="E11" s="165"/>
      <c r="F11" s="154"/>
      <c r="G11" s="157"/>
    </row>
    <row r="12" spans="2:7" x14ac:dyDescent="0.3">
      <c r="B12" s="160"/>
      <c r="C12" s="160"/>
      <c r="D12" s="164"/>
      <c r="E12" s="165"/>
      <c r="F12" s="154"/>
      <c r="G12" s="157"/>
    </row>
    <row r="13" spans="2:7" x14ac:dyDescent="0.3">
      <c r="B13" s="161"/>
      <c r="C13" s="161"/>
      <c r="D13" s="166"/>
      <c r="E13" s="167"/>
      <c r="F13" s="155"/>
      <c r="G13" s="158"/>
    </row>
    <row r="14" spans="2:7" x14ac:dyDescent="0.3">
      <c r="B14" s="159" t="s">
        <v>372</v>
      </c>
      <c r="C14" s="159" t="s">
        <v>374</v>
      </c>
      <c r="D14" s="162" t="s">
        <v>344</v>
      </c>
      <c r="E14" s="163"/>
      <c r="F14" s="176" t="s">
        <v>349</v>
      </c>
      <c r="G14" s="179"/>
    </row>
    <row r="15" spans="2:7" x14ac:dyDescent="0.3">
      <c r="B15" s="160"/>
      <c r="C15" s="160"/>
      <c r="D15" s="164"/>
      <c r="E15" s="165"/>
      <c r="F15" s="177"/>
      <c r="G15" s="157"/>
    </row>
    <row r="16" spans="2:7" x14ac:dyDescent="0.3">
      <c r="B16" s="160"/>
      <c r="C16" s="160"/>
      <c r="D16" s="164"/>
      <c r="E16" s="165"/>
      <c r="F16" s="177"/>
      <c r="G16" s="157"/>
    </row>
    <row r="17" spans="2:7" x14ac:dyDescent="0.3">
      <c r="B17" s="161"/>
      <c r="C17" s="161"/>
      <c r="D17" s="166"/>
      <c r="E17" s="167"/>
      <c r="F17" s="178"/>
      <c r="G17" s="158"/>
    </row>
    <row r="18" spans="2:7" ht="63.4" x14ac:dyDescent="0.3">
      <c r="B18" s="14">
        <v>37301</v>
      </c>
      <c r="C18" s="14" t="s">
        <v>94</v>
      </c>
      <c r="D18" s="151" t="s">
        <v>193</v>
      </c>
      <c r="E18" s="151"/>
      <c r="F18" s="93" t="s">
        <v>192</v>
      </c>
      <c r="G18" s="68"/>
    </row>
    <row r="19" spans="2:7" ht="76.05" x14ac:dyDescent="0.3">
      <c r="B19" s="14" t="s">
        <v>201</v>
      </c>
      <c r="C19" s="14" t="s">
        <v>94</v>
      </c>
      <c r="D19" s="151" t="s">
        <v>259</v>
      </c>
      <c r="E19" s="151"/>
      <c r="F19" s="93" t="s">
        <v>260</v>
      </c>
      <c r="G19" s="68"/>
    </row>
    <row r="20" spans="2:7" ht="228.1" x14ac:dyDescent="0.3">
      <c r="B20" s="14" t="s">
        <v>201</v>
      </c>
      <c r="C20" s="14" t="s">
        <v>94</v>
      </c>
      <c r="D20" s="151" t="s">
        <v>202</v>
      </c>
      <c r="E20" s="151"/>
      <c r="F20" s="93" t="s">
        <v>203</v>
      </c>
      <c r="G20" s="68"/>
    </row>
    <row r="21" spans="2:7" ht="190.1" x14ac:dyDescent="0.3">
      <c r="B21" s="14" t="s">
        <v>201</v>
      </c>
      <c r="C21" s="14" t="s">
        <v>204</v>
      </c>
      <c r="D21" s="151" t="s">
        <v>205</v>
      </c>
      <c r="E21" s="151"/>
      <c r="F21" s="93" t="s">
        <v>209</v>
      </c>
      <c r="G21" s="68"/>
    </row>
    <row r="22" spans="2:7" ht="190.1" x14ac:dyDescent="0.3">
      <c r="B22" s="14" t="s">
        <v>201</v>
      </c>
      <c r="C22" s="14" t="s">
        <v>207</v>
      </c>
      <c r="D22" s="151" t="s">
        <v>206</v>
      </c>
      <c r="E22" s="151"/>
      <c r="F22" s="93" t="s">
        <v>208</v>
      </c>
      <c r="G22" s="68"/>
    </row>
    <row r="23" spans="2:7" ht="177.45" x14ac:dyDescent="0.3">
      <c r="B23" s="14" t="s">
        <v>201</v>
      </c>
      <c r="C23" s="14" t="s">
        <v>211</v>
      </c>
      <c r="D23" s="151" t="s">
        <v>210</v>
      </c>
      <c r="E23" s="151"/>
      <c r="F23" s="93" t="s">
        <v>212</v>
      </c>
      <c r="G23" s="68"/>
    </row>
    <row r="24" spans="2:7" ht="190.1" x14ac:dyDescent="0.3">
      <c r="B24" s="14" t="s">
        <v>201</v>
      </c>
      <c r="C24" s="14" t="s">
        <v>213</v>
      </c>
      <c r="D24" s="151" t="s">
        <v>214</v>
      </c>
      <c r="E24" s="151"/>
      <c r="F24" s="93" t="s">
        <v>215</v>
      </c>
      <c r="G24" s="68"/>
    </row>
    <row r="25" spans="2:7" ht="190.1" x14ac:dyDescent="0.3">
      <c r="B25" s="14" t="s">
        <v>201</v>
      </c>
      <c r="C25" s="14" t="s">
        <v>216</v>
      </c>
      <c r="D25" s="151" t="s">
        <v>218</v>
      </c>
      <c r="E25" s="151"/>
      <c r="F25" s="93" t="s">
        <v>217</v>
      </c>
      <c r="G25" s="68"/>
    </row>
    <row r="26" spans="2:7" ht="139.4" x14ac:dyDescent="0.3">
      <c r="B26" s="14">
        <v>50001</v>
      </c>
      <c r="C26" s="14" t="s">
        <v>94</v>
      </c>
      <c r="D26" s="151" t="s">
        <v>300</v>
      </c>
      <c r="E26" s="151"/>
      <c r="F26" s="93" t="s">
        <v>301</v>
      </c>
      <c r="G26" s="68"/>
    </row>
    <row r="27" spans="2:7" ht="139.4" x14ac:dyDescent="0.3">
      <c r="B27" s="14" t="s">
        <v>373</v>
      </c>
      <c r="C27" s="14" t="s">
        <v>375</v>
      </c>
      <c r="D27" s="151" t="s">
        <v>302</v>
      </c>
      <c r="E27" s="151"/>
      <c r="F27" s="93" t="s">
        <v>370</v>
      </c>
      <c r="G27" s="68"/>
    </row>
    <row r="28" spans="2:7" ht="215.45" x14ac:dyDescent="0.3">
      <c r="B28" s="14" t="s">
        <v>373</v>
      </c>
      <c r="C28" s="14" t="s">
        <v>376</v>
      </c>
      <c r="D28" s="151" t="s">
        <v>303</v>
      </c>
      <c r="E28" s="151"/>
      <c r="F28" s="93" t="s">
        <v>371</v>
      </c>
      <c r="G28" s="68"/>
    </row>
    <row r="29" spans="2:7" ht="25.35" x14ac:dyDescent="0.3">
      <c r="B29" s="14">
        <v>22301</v>
      </c>
      <c r="C29" s="14" t="s">
        <v>268</v>
      </c>
      <c r="D29" s="151" t="s">
        <v>266</v>
      </c>
      <c r="E29" s="151"/>
      <c r="F29" s="93" t="s">
        <v>267</v>
      </c>
      <c r="G29" s="68"/>
    </row>
    <row r="30" spans="2:7" ht="50.7" x14ac:dyDescent="0.3">
      <c r="B30" s="14">
        <v>22301</v>
      </c>
      <c r="C30" s="14" t="s">
        <v>204</v>
      </c>
      <c r="D30" s="151" t="s">
        <v>269</v>
      </c>
      <c r="E30" s="151"/>
      <c r="F30" s="93" t="s">
        <v>270</v>
      </c>
      <c r="G30" s="68"/>
    </row>
    <row r="31" spans="2:7" ht="50.7" x14ac:dyDescent="0.3">
      <c r="B31" s="14">
        <v>22301</v>
      </c>
      <c r="C31" s="14" t="s">
        <v>207</v>
      </c>
      <c r="D31" s="151" t="s">
        <v>271</v>
      </c>
      <c r="E31" s="151"/>
      <c r="F31" s="93" t="s">
        <v>272</v>
      </c>
      <c r="G31" s="68"/>
    </row>
    <row r="32" spans="2:7" ht="25.35" x14ac:dyDescent="0.3">
      <c r="B32" s="14">
        <v>22301</v>
      </c>
      <c r="C32" s="14" t="s">
        <v>219</v>
      </c>
      <c r="D32" s="151" t="s">
        <v>274</v>
      </c>
      <c r="E32" s="151"/>
      <c r="F32" s="93" t="s">
        <v>275</v>
      </c>
      <c r="G32" s="68"/>
    </row>
    <row r="33" spans="2:7" ht="25.35" x14ac:dyDescent="0.3">
      <c r="B33" s="14">
        <v>22301</v>
      </c>
      <c r="C33" s="14" t="s">
        <v>222</v>
      </c>
      <c r="D33" s="151" t="s">
        <v>276</v>
      </c>
      <c r="E33" s="151"/>
      <c r="F33" s="93" t="s">
        <v>277</v>
      </c>
      <c r="G33" s="68"/>
    </row>
    <row r="34" spans="2:7" ht="25.35" x14ac:dyDescent="0.3">
      <c r="B34" s="14">
        <v>22301</v>
      </c>
      <c r="C34" s="14" t="s">
        <v>225</v>
      </c>
      <c r="D34" s="151" t="s">
        <v>278</v>
      </c>
      <c r="E34" s="151"/>
      <c r="F34" s="93" t="s">
        <v>279</v>
      </c>
      <c r="G34" s="68"/>
    </row>
    <row r="35" spans="2:7" ht="25.35" x14ac:dyDescent="0.3">
      <c r="B35" s="14">
        <v>22301</v>
      </c>
      <c r="C35" s="14" t="s">
        <v>228</v>
      </c>
      <c r="D35" s="151" t="s">
        <v>280</v>
      </c>
      <c r="E35" s="151"/>
      <c r="F35" s="93" t="s">
        <v>281</v>
      </c>
      <c r="G35" s="68"/>
    </row>
    <row r="36" spans="2:7" ht="38.049999999999997" x14ac:dyDescent="0.3">
      <c r="B36" s="14">
        <v>22301</v>
      </c>
      <c r="C36" s="14" t="s">
        <v>273</v>
      </c>
      <c r="D36" s="151" t="s">
        <v>282</v>
      </c>
      <c r="E36" s="151"/>
      <c r="F36" s="93" t="s">
        <v>283</v>
      </c>
      <c r="G36" s="68"/>
    </row>
    <row r="37" spans="2:7" ht="25.35" x14ac:dyDescent="0.3">
      <c r="B37" s="14">
        <v>22301</v>
      </c>
      <c r="C37" s="14" t="s">
        <v>230</v>
      </c>
      <c r="D37" s="151" t="s">
        <v>286</v>
      </c>
      <c r="E37" s="151"/>
      <c r="F37" s="93" t="s">
        <v>287</v>
      </c>
      <c r="G37" s="68"/>
    </row>
    <row r="38" spans="2:7" ht="25.35" x14ac:dyDescent="0.3">
      <c r="B38" s="14">
        <v>22301</v>
      </c>
      <c r="C38" s="14" t="s">
        <v>233</v>
      </c>
      <c r="D38" s="151" t="s">
        <v>288</v>
      </c>
      <c r="E38" s="151"/>
      <c r="F38" s="93" t="s">
        <v>289</v>
      </c>
      <c r="G38" s="68"/>
    </row>
    <row r="39" spans="2:7" ht="25.35" x14ac:dyDescent="0.3">
      <c r="B39" s="14">
        <v>22301</v>
      </c>
      <c r="C39" s="14" t="s">
        <v>236</v>
      </c>
      <c r="D39" s="151" t="s">
        <v>290</v>
      </c>
      <c r="E39" s="151"/>
      <c r="F39" s="93" t="s">
        <v>291</v>
      </c>
      <c r="G39" s="68"/>
    </row>
    <row r="40" spans="2:7" ht="25.35" x14ac:dyDescent="0.3">
      <c r="B40" s="14">
        <v>22301</v>
      </c>
      <c r="C40" s="14" t="s">
        <v>284</v>
      </c>
      <c r="D40" s="151" t="s">
        <v>292</v>
      </c>
      <c r="E40" s="151"/>
      <c r="F40" s="93" t="s">
        <v>293</v>
      </c>
      <c r="G40" s="68"/>
    </row>
    <row r="41" spans="2:7" ht="25.35" x14ac:dyDescent="0.3">
      <c r="B41" s="14">
        <v>22301</v>
      </c>
      <c r="C41" s="14" t="s">
        <v>285</v>
      </c>
      <c r="D41" s="151" t="s">
        <v>294</v>
      </c>
      <c r="E41" s="151"/>
      <c r="F41" s="93" t="s">
        <v>295</v>
      </c>
      <c r="G41" s="68"/>
    </row>
    <row r="42" spans="2:7" ht="38.049999999999997" x14ac:dyDescent="0.3">
      <c r="B42" s="14">
        <v>22301</v>
      </c>
      <c r="C42" s="14" t="s">
        <v>97</v>
      </c>
      <c r="D42" s="151" t="s">
        <v>296</v>
      </c>
      <c r="E42" s="151"/>
      <c r="F42" s="93" t="s">
        <v>297</v>
      </c>
      <c r="G42" s="68"/>
    </row>
    <row r="43" spans="2:7" ht="38.049999999999997" x14ac:dyDescent="0.3">
      <c r="B43" s="14">
        <v>22301</v>
      </c>
      <c r="C43" s="14" t="s">
        <v>98</v>
      </c>
      <c r="D43" s="151" t="s">
        <v>298</v>
      </c>
      <c r="E43" s="151"/>
      <c r="F43" s="93" t="s">
        <v>299</v>
      </c>
      <c r="G43" s="68"/>
    </row>
    <row r="44" spans="2:7" ht="76.05" x14ac:dyDescent="0.3">
      <c r="B44" s="14">
        <v>42001</v>
      </c>
      <c r="C44" s="14" t="s">
        <v>94</v>
      </c>
      <c r="D44" s="151" t="s">
        <v>259</v>
      </c>
      <c r="E44" s="151"/>
      <c r="F44" s="93" t="s">
        <v>264</v>
      </c>
      <c r="G44" s="68"/>
    </row>
    <row r="45" spans="2:7" ht="76.05" x14ac:dyDescent="0.3">
      <c r="B45" s="14">
        <v>42001</v>
      </c>
      <c r="C45" s="14" t="s">
        <v>95</v>
      </c>
      <c r="D45" s="151" t="s">
        <v>261</v>
      </c>
      <c r="E45" s="151"/>
      <c r="F45" s="93" t="s">
        <v>262</v>
      </c>
      <c r="G45" s="68"/>
    </row>
    <row r="46" spans="2:7" ht="88.7" x14ac:dyDescent="0.3">
      <c r="B46" s="14">
        <v>42001</v>
      </c>
      <c r="C46" s="14" t="s">
        <v>265</v>
      </c>
      <c r="D46" s="151" t="s">
        <v>198</v>
      </c>
      <c r="E46" s="151"/>
      <c r="F46" s="93" t="s">
        <v>263</v>
      </c>
      <c r="G46" s="68"/>
    </row>
    <row r="47" spans="2:7" ht="25.35" x14ac:dyDescent="0.3">
      <c r="B47" s="14" t="s">
        <v>201</v>
      </c>
      <c r="C47" s="14" t="s">
        <v>219</v>
      </c>
      <c r="D47" s="151" t="s">
        <v>220</v>
      </c>
      <c r="E47" s="151"/>
      <c r="F47" s="93" t="s">
        <v>221</v>
      </c>
      <c r="G47" s="68"/>
    </row>
    <row r="48" spans="2:7" ht="25.35" x14ac:dyDescent="0.3">
      <c r="B48" s="14" t="s">
        <v>201</v>
      </c>
      <c r="C48" s="14" t="s">
        <v>222</v>
      </c>
      <c r="D48" s="151" t="s">
        <v>223</v>
      </c>
      <c r="E48" s="151"/>
      <c r="F48" s="93" t="s">
        <v>224</v>
      </c>
      <c r="G48" s="68"/>
    </row>
    <row r="49" spans="2:7" ht="25.35" x14ac:dyDescent="0.3">
      <c r="B49" s="14" t="s">
        <v>201</v>
      </c>
      <c r="C49" s="14" t="s">
        <v>225</v>
      </c>
      <c r="D49" s="151" t="s">
        <v>227</v>
      </c>
      <c r="E49" s="151"/>
      <c r="F49" s="93" t="s">
        <v>226</v>
      </c>
      <c r="G49" s="68"/>
    </row>
    <row r="50" spans="2:7" ht="25.35" x14ac:dyDescent="0.3">
      <c r="B50" s="14" t="s">
        <v>201</v>
      </c>
      <c r="C50" s="14" t="s">
        <v>230</v>
      </c>
      <c r="D50" s="151" t="s">
        <v>231</v>
      </c>
      <c r="E50" s="151"/>
      <c r="F50" s="93" t="s">
        <v>232</v>
      </c>
      <c r="G50" s="68"/>
    </row>
    <row r="51" spans="2:7" ht="25.35" x14ac:dyDescent="0.3">
      <c r="B51" s="14" t="s">
        <v>201</v>
      </c>
      <c r="C51" s="14" t="s">
        <v>233</v>
      </c>
      <c r="D51" s="151" t="s">
        <v>234</v>
      </c>
      <c r="E51" s="151"/>
      <c r="F51" s="93" t="s">
        <v>235</v>
      </c>
      <c r="G51" s="68"/>
    </row>
    <row r="52" spans="2:7" ht="25.35" x14ac:dyDescent="0.3">
      <c r="B52" s="14" t="s">
        <v>201</v>
      </c>
      <c r="C52" s="14" t="s">
        <v>236</v>
      </c>
      <c r="D52" s="151" t="s">
        <v>237</v>
      </c>
      <c r="E52" s="151"/>
      <c r="F52" s="93" t="s">
        <v>238</v>
      </c>
      <c r="G52" s="68"/>
    </row>
    <row r="53" spans="2:7" x14ac:dyDescent="0.3">
      <c r="B53" s="14" t="s">
        <v>201</v>
      </c>
      <c r="C53" s="14" t="s">
        <v>165</v>
      </c>
      <c r="D53" s="151" t="s">
        <v>239</v>
      </c>
      <c r="E53" s="151"/>
      <c r="F53" s="93" t="s">
        <v>240</v>
      </c>
      <c r="G53" s="68"/>
    </row>
    <row r="54" spans="2:7" x14ac:dyDescent="0.3">
      <c r="B54" s="159">
        <v>9001</v>
      </c>
      <c r="C54" s="159" t="s">
        <v>165</v>
      </c>
      <c r="D54" s="162" t="s">
        <v>172</v>
      </c>
      <c r="E54" s="163"/>
      <c r="F54" s="180" t="s">
        <v>173</v>
      </c>
      <c r="G54" s="183"/>
    </row>
    <row r="55" spans="2:7" x14ac:dyDescent="0.3">
      <c r="B55" s="160"/>
      <c r="C55" s="160"/>
      <c r="D55" s="164"/>
      <c r="E55" s="165"/>
      <c r="F55" s="181"/>
      <c r="G55" s="157"/>
    </row>
    <row r="56" spans="2:7" x14ac:dyDescent="0.3">
      <c r="B56" s="160"/>
      <c r="C56" s="160"/>
      <c r="D56" s="164"/>
      <c r="E56" s="165"/>
      <c r="F56" s="181"/>
      <c r="G56" s="157"/>
    </row>
    <row r="57" spans="2:7" x14ac:dyDescent="0.3">
      <c r="B57" s="160"/>
      <c r="C57" s="160"/>
      <c r="D57" s="164"/>
      <c r="E57" s="165"/>
      <c r="F57" s="181"/>
      <c r="G57" s="157"/>
    </row>
    <row r="58" spans="2:7" x14ac:dyDescent="0.3">
      <c r="B58" s="160"/>
      <c r="C58" s="160"/>
      <c r="D58" s="164"/>
      <c r="E58" s="165"/>
      <c r="F58" s="181"/>
      <c r="G58" s="157"/>
    </row>
    <row r="59" spans="2:7" x14ac:dyDescent="0.3">
      <c r="B59" s="160"/>
      <c r="C59" s="160"/>
      <c r="D59" s="164"/>
      <c r="E59" s="165"/>
      <c r="F59" s="181"/>
      <c r="G59" s="157"/>
    </row>
    <row r="60" spans="2:7" x14ac:dyDescent="0.3">
      <c r="B60" s="160"/>
      <c r="C60" s="160"/>
      <c r="D60" s="164"/>
      <c r="E60" s="165"/>
      <c r="F60" s="181"/>
      <c r="G60" s="157"/>
    </row>
    <row r="61" spans="2:7" x14ac:dyDescent="0.3">
      <c r="B61" s="161"/>
      <c r="C61" s="161"/>
      <c r="D61" s="166"/>
      <c r="E61" s="167"/>
      <c r="F61" s="182"/>
      <c r="G61" s="158"/>
    </row>
    <row r="62" spans="2:7" ht="63.4" x14ac:dyDescent="0.3">
      <c r="B62" s="14" t="s">
        <v>361</v>
      </c>
      <c r="C62" s="14" t="s">
        <v>362</v>
      </c>
      <c r="D62" s="151" t="s">
        <v>166</v>
      </c>
      <c r="E62" s="151"/>
      <c r="F62" s="93" t="s">
        <v>229</v>
      </c>
      <c r="G62" s="68"/>
    </row>
    <row r="63" spans="2:7" x14ac:dyDescent="0.3">
      <c r="B63" s="14">
        <v>9001</v>
      </c>
      <c r="C63" s="14" t="s">
        <v>167</v>
      </c>
      <c r="D63" s="151" t="s">
        <v>154</v>
      </c>
      <c r="E63" s="151"/>
      <c r="F63" s="93" t="s">
        <v>159</v>
      </c>
      <c r="G63" s="68"/>
    </row>
    <row r="64" spans="2:7" ht="25.35" x14ac:dyDescent="0.3">
      <c r="B64" s="14">
        <v>9001</v>
      </c>
      <c r="C64" s="14" t="s">
        <v>168</v>
      </c>
      <c r="D64" s="151" t="s">
        <v>170</v>
      </c>
      <c r="E64" s="151"/>
      <c r="F64" s="93" t="s">
        <v>171</v>
      </c>
      <c r="G64" s="68"/>
    </row>
    <row r="65" spans="2:7" x14ac:dyDescent="0.3">
      <c r="B65" s="14">
        <v>9001</v>
      </c>
      <c r="C65" s="14" t="s">
        <v>169</v>
      </c>
      <c r="D65" s="151" t="s">
        <v>155</v>
      </c>
      <c r="E65" s="151"/>
      <c r="F65" s="93" t="s">
        <v>160</v>
      </c>
      <c r="G65" s="68"/>
    </row>
    <row r="66" spans="2:7" ht="78.05" customHeight="1" x14ac:dyDescent="0.3">
      <c r="B66" s="14">
        <v>9001</v>
      </c>
      <c r="C66" s="14" t="s">
        <v>386</v>
      </c>
      <c r="D66" s="151" t="s">
        <v>387</v>
      </c>
      <c r="E66" s="151"/>
      <c r="F66" s="93" t="s">
        <v>161</v>
      </c>
      <c r="G66" s="68"/>
    </row>
    <row r="67" spans="2:7" x14ac:dyDescent="0.3">
      <c r="B67" s="14">
        <v>9001</v>
      </c>
      <c r="C67" s="14" t="s">
        <v>98</v>
      </c>
      <c r="D67" s="151" t="s">
        <v>156</v>
      </c>
      <c r="E67" s="151"/>
      <c r="F67" s="93" t="s">
        <v>162</v>
      </c>
      <c r="G67" s="68"/>
    </row>
    <row r="68" spans="2:7" ht="25.35" x14ac:dyDescent="0.3">
      <c r="B68" s="14" t="s">
        <v>201</v>
      </c>
      <c r="C68" s="14" t="s">
        <v>242</v>
      </c>
      <c r="D68" s="151" t="s">
        <v>241</v>
      </c>
      <c r="E68" s="151"/>
      <c r="F68" s="93" t="s">
        <v>243</v>
      </c>
      <c r="G68" s="68"/>
    </row>
    <row r="69" spans="2:7" ht="25.35" x14ac:dyDescent="0.3">
      <c r="B69" s="14" t="s">
        <v>201</v>
      </c>
      <c r="C69" s="14" t="s">
        <v>244</v>
      </c>
      <c r="D69" s="151" t="s">
        <v>246</v>
      </c>
      <c r="E69" s="151"/>
      <c r="F69" s="93" t="s">
        <v>245</v>
      </c>
      <c r="G69" s="68"/>
    </row>
    <row r="70" spans="2:7" ht="25.35" x14ac:dyDescent="0.3">
      <c r="B70" s="14" t="s">
        <v>201</v>
      </c>
      <c r="C70" s="14" t="s">
        <v>247</v>
      </c>
      <c r="D70" s="151" t="s">
        <v>248</v>
      </c>
      <c r="E70" s="151"/>
      <c r="F70" s="93" t="s">
        <v>249</v>
      </c>
      <c r="G70" s="68"/>
    </row>
    <row r="71" spans="2:7" ht="25.35" x14ac:dyDescent="0.3">
      <c r="B71" s="14" t="s">
        <v>201</v>
      </c>
      <c r="C71" s="14" t="s">
        <v>250</v>
      </c>
      <c r="D71" s="151" t="s">
        <v>251</v>
      </c>
      <c r="E71" s="151"/>
      <c r="F71" s="93" t="s">
        <v>252</v>
      </c>
      <c r="G71" s="68"/>
    </row>
    <row r="72" spans="2:7" ht="25.35" x14ac:dyDescent="0.3">
      <c r="B72" s="14" t="s">
        <v>201</v>
      </c>
      <c r="C72" s="14" t="s">
        <v>253</v>
      </c>
      <c r="D72" s="151" t="s">
        <v>254</v>
      </c>
      <c r="E72" s="151"/>
      <c r="F72" s="93" t="s">
        <v>255</v>
      </c>
      <c r="G72" s="68"/>
    </row>
    <row r="73" spans="2:7" ht="25.35" x14ac:dyDescent="0.3">
      <c r="B73" s="14" t="s">
        <v>201</v>
      </c>
      <c r="C73" s="14" t="s">
        <v>256</v>
      </c>
      <c r="D73" s="151" t="s">
        <v>257</v>
      </c>
      <c r="E73" s="151"/>
      <c r="F73" s="93" t="s">
        <v>258</v>
      </c>
      <c r="G73" s="68"/>
    </row>
    <row r="74" spans="2:7" ht="25.35" x14ac:dyDescent="0.3">
      <c r="B74" s="14">
        <v>9001</v>
      </c>
      <c r="C74" s="14" t="s">
        <v>99</v>
      </c>
      <c r="D74" s="151" t="s">
        <v>174</v>
      </c>
      <c r="E74" s="151"/>
      <c r="F74" s="93" t="s">
        <v>175</v>
      </c>
      <c r="G74" s="68"/>
    </row>
    <row r="75" spans="2:7" ht="38.049999999999997" x14ac:dyDescent="0.3">
      <c r="B75" s="14" t="s">
        <v>307</v>
      </c>
      <c r="C75" s="14" t="s">
        <v>94</v>
      </c>
      <c r="D75" s="151" t="s">
        <v>163</v>
      </c>
      <c r="E75" s="151"/>
      <c r="F75" s="93" t="s">
        <v>164</v>
      </c>
      <c r="G75" s="68"/>
    </row>
    <row r="76" spans="2:7" ht="25.35" x14ac:dyDescent="0.3">
      <c r="B76" s="14">
        <v>37001</v>
      </c>
      <c r="C76" s="14" t="s">
        <v>94</v>
      </c>
      <c r="D76" s="151" t="s">
        <v>177</v>
      </c>
      <c r="E76" s="151"/>
      <c r="F76" s="93" t="s">
        <v>176</v>
      </c>
      <c r="G76" s="68"/>
    </row>
    <row r="77" spans="2:7" ht="25.35" x14ac:dyDescent="0.3">
      <c r="B77" s="14">
        <v>37001</v>
      </c>
      <c r="C77" s="14" t="s">
        <v>95</v>
      </c>
      <c r="D77" s="151" t="s">
        <v>178</v>
      </c>
      <c r="E77" s="151"/>
      <c r="F77" s="93" t="s">
        <v>180</v>
      </c>
      <c r="G77" s="68"/>
    </row>
    <row r="78" spans="2:7" ht="76.05" x14ac:dyDescent="0.3">
      <c r="B78" s="14">
        <v>37001</v>
      </c>
      <c r="C78" s="14" t="s">
        <v>96</v>
      </c>
      <c r="D78" s="151" t="s">
        <v>179</v>
      </c>
      <c r="E78" s="151"/>
      <c r="F78" s="93" t="s">
        <v>181</v>
      </c>
      <c r="G78" s="68"/>
    </row>
    <row r="79" spans="2:7" ht="38.049999999999997" x14ac:dyDescent="0.3">
      <c r="B79" s="14">
        <v>37001</v>
      </c>
      <c r="C79" s="14" t="s">
        <v>97</v>
      </c>
      <c r="D79" s="151" t="s">
        <v>183</v>
      </c>
      <c r="E79" s="151"/>
      <c r="F79" s="93" t="s">
        <v>184</v>
      </c>
      <c r="G79" s="68"/>
    </row>
    <row r="80" spans="2:7" ht="25.35" x14ac:dyDescent="0.3">
      <c r="B80" s="14">
        <v>37001</v>
      </c>
      <c r="C80" s="14" t="s">
        <v>98</v>
      </c>
      <c r="D80" s="151" t="s">
        <v>100</v>
      </c>
      <c r="E80" s="151"/>
      <c r="F80" s="93" t="s">
        <v>185</v>
      </c>
      <c r="G80" s="68"/>
    </row>
    <row r="81" spans="2:8" ht="25.35" x14ac:dyDescent="0.3">
      <c r="B81" s="14">
        <v>37001</v>
      </c>
      <c r="C81" s="14" t="s">
        <v>99</v>
      </c>
      <c r="D81" s="151" t="s">
        <v>101</v>
      </c>
      <c r="E81" s="151"/>
      <c r="F81" s="93" t="s">
        <v>186</v>
      </c>
      <c r="G81" s="68"/>
    </row>
    <row r="82" spans="2:8" ht="25.35" x14ac:dyDescent="0.3">
      <c r="B82" s="14">
        <v>37001</v>
      </c>
      <c r="C82" s="14" t="s">
        <v>102</v>
      </c>
      <c r="D82" s="151" t="s">
        <v>103</v>
      </c>
      <c r="E82" s="151"/>
      <c r="F82" s="93" t="s">
        <v>189</v>
      </c>
      <c r="G82" s="68"/>
    </row>
    <row r="83" spans="2:8" ht="38.049999999999997" x14ac:dyDescent="0.3">
      <c r="B83" s="14" t="s">
        <v>304</v>
      </c>
      <c r="C83" s="14" t="s">
        <v>194</v>
      </c>
      <c r="D83" s="151" t="s">
        <v>187</v>
      </c>
      <c r="E83" s="151"/>
      <c r="F83" s="93" t="s">
        <v>188</v>
      </c>
      <c r="G83" s="68"/>
    </row>
    <row r="84" spans="2:8" ht="76.05" x14ac:dyDescent="0.3">
      <c r="B84" s="14" t="s">
        <v>304</v>
      </c>
      <c r="C84" s="14" t="s">
        <v>195</v>
      </c>
      <c r="D84" s="151" t="s">
        <v>190</v>
      </c>
      <c r="E84" s="151"/>
      <c r="F84" s="93" t="s">
        <v>191</v>
      </c>
      <c r="G84" s="68"/>
    </row>
    <row r="87" spans="2:8" ht="15" thickBot="1" x14ac:dyDescent="0.35">
      <c r="E87" s="7" t="s">
        <v>3</v>
      </c>
      <c r="F87" s="7" t="s">
        <v>29</v>
      </c>
      <c r="G87" s="7" t="s">
        <v>2</v>
      </c>
      <c r="H87" s="8" t="s">
        <v>30</v>
      </c>
    </row>
    <row r="88" spans="2:8" x14ac:dyDescent="0.3">
      <c r="E88" s="67"/>
      <c r="F88" s="84"/>
      <c r="G88" s="61"/>
      <c r="H88" s="61"/>
    </row>
    <row r="89" spans="2:8" x14ac:dyDescent="0.3">
      <c r="E89" s="68"/>
      <c r="F89" s="95"/>
      <c r="G89" s="58"/>
      <c r="H89" s="58"/>
    </row>
    <row r="90" spans="2:8" x14ac:dyDescent="0.3">
      <c r="E90" s="68"/>
      <c r="F90" s="68"/>
      <c r="G90" s="58"/>
      <c r="H90" s="58"/>
    </row>
    <row r="91" spans="2:8" x14ac:dyDescent="0.3">
      <c r="E91" s="68"/>
      <c r="F91" s="68"/>
      <c r="G91" s="58"/>
      <c r="H91" s="58"/>
    </row>
    <row r="92" spans="2:8" x14ac:dyDescent="0.3">
      <c r="E92" s="68"/>
      <c r="F92" s="68"/>
      <c r="G92" s="58"/>
      <c r="H92" s="58"/>
    </row>
    <row r="93" spans="2:8" x14ac:dyDescent="0.3">
      <c r="E93" s="68"/>
      <c r="F93" s="68"/>
      <c r="G93" s="58"/>
      <c r="H93" s="58"/>
    </row>
    <row r="94" spans="2:8" x14ac:dyDescent="0.3">
      <c r="E94" s="69"/>
      <c r="F94" s="69"/>
      <c r="G94" s="64"/>
      <c r="H94" s="64"/>
    </row>
  </sheetData>
  <sheetProtection algorithmName="SHA-512" hashValue="FzrFUk73QWAARRkbvxHH2+sxgeHxTyAk6vlaJ84oO2r29qhcQoUCGmVfBMbA2V7LWYatLLTfXXI8ZkS6ATOMjA==" saltValue="MttPuUGXW8x/jDCbRndDAQ==" spinCount="100000" sheet="1" objects="1" scenarios="1" formatCells="0" formatColumns="0" formatRows="0"/>
  <mergeCells count="83">
    <mergeCell ref="D84:E84"/>
    <mergeCell ref="D79:E79"/>
    <mergeCell ref="D80:E80"/>
    <mergeCell ref="D81:E81"/>
    <mergeCell ref="D82:E82"/>
    <mergeCell ref="D83:E83"/>
    <mergeCell ref="D74:E74"/>
    <mergeCell ref="D75:E75"/>
    <mergeCell ref="D76:E76"/>
    <mergeCell ref="D77:E77"/>
    <mergeCell ref="D78:E78"/>
    <mergeCell ref="D53:E53"/>
    <mergeCell ref="B54:B61"/>
    <mergeCell ref="C54:C61"/>
    <mergeCell ref="D54:E61"/>
    <mergeCell ref="F54:F61"/>
    <mergeCell ref="G54:G61"/>
    <mergeCell ref="B10:B13"/>
    <mergeCell ref="C10:C13"/>
    <mergeCell ref="D10:E13"/>
    <mergeCell ref="F10:F13"/>
    <mergeCell ref="G10:G13"/>
    <mergeCell ref="B14:B17"/>
    <mergeCell ref="C14:C17"/>
    <mergeCell ref="D14:E17"/>
    <mergeCell ref="F14:F17"/>
    <mergeCell ref="G14:G17"/>
    <mergeCell ref="D44:E44"/>
    <mergeCell ref="D45:E45"/>
    <mergeCell ref="D46:E46"/>
    <mergeCell ref="D47:E47"/>
    <mergeCell ref="D32:E32"/>
    <mergeCell ref="D8:E8"/>
    <mergeCell ref="B4:B9"/>
    <mergeCell ref="C4:C9"/>
    <mergeCell ref="D9:E9"/>
    <mergeCell ref="D69:E69"/>
    <mergeCell ref="D62:E62"/>
    <mergeCell ref="D51:E51"/>
    <mergeCell ref="D52:E52"/>
    <mergeCell ref="D50:E50"/>
    <mergeCell ref="D48:E48"/>
    <mergeCell ref="D39:E39"/>
    <mergeCell ref="D40:E40"/>
    <mergeCell ref="D41:E41"/>
    <mergeCell ref="D42:E42"/>
    <mergeCell ref="D43:E43"/>
    <mergeCell ref="D37:E37"/>
    <mergeCell ref="D70:E70"/>
    <mergeCell ref="D63:E63"/>
    <mergeCell ref="D64:E64"/>
    <mergeCell ref="D65:E65"/>
    <mergeCell ref="D66:E66"/>
    <mergeCell ref="D67:E67"/>
    <mergeCell ref="D68:E68"/>
    <mergeCell ref="D35:E35"/>
    <mergeCell ref="D36:E36"/>
    <mergeCell ref="D27:E27"/>
    <mergeCell ref="D28:E28"/>
    <mergeCell ref="D29:E29"/>
    <mergeCell ref="D30:E30"/>
    <mergeCell ref="D31:E31"/>
    <mergeCell ref="D3:F3"/>
    <mergeCell ref="D4:E4"/>
    <mergeCell ref="D5:E5"/>
    <mergeCell ref="D6:E6"/>
    <mergeCell ref="D7:E7"/>
    <mergeCell ref="D71:E71"/>
    <mergeCell ref="D72:E72"/>
    <mergeCell ref="D73:E73"/>
    <mergeCell ref="D26:E26"/>
    <mergeCell ref="D18:E18"/>
    <mergeCell ref="D19:E19"/>
    <mergeCell ref="D20:E20"/>
    <mergeCell ref="D21:E21"/>
    <mergeCell ref="D22:E22"/>
    <mergeCell ref="D23:E23"/>
    <mergeCell ref="D49:E49"/>
    <mergeCell ref="D24:E24"/>
    <mergeCell ref="D25:E25"/>
    <mergeCell ref="D38:E38"/>
    <mergeCell ref="D33:E33"/>
    <mergeCell ref="D34:E34"/>
  </mergeCells>
  <dataValidations count="3">
    <dataValidation type="list" allowBlank="1" showInputMessage="1" showErrorMessage="1" sqref="G4:G10 G14:G84" xr:uid="{8351C513-CC7F-46F5-A0C6-B6C40DC76AFC}">
      <formula1>"'CA,C,N/A"</formula1>
    </dataValidation>
    <dataValidation type="list" allowBlank="1" showInputMessage="1" showErrorMessage="1" sqref="H88:H94" xr:uid="{F349A1D8-ADA3-4DB1-B55F-2BF19D8F9B35}">
      <formula1>"NCMin, NCMagg, Oss"</formula1>
    </dataValidation>
    <dataValidation type="list" allowBlank="1" showInputMessage="1" showErrorMessage="1" sqref="G1:G2" xr:uid="{5EF7D638-7B9D-4D73-9395-1642F428C33B}">
      <formula1>#REF!</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5D5CB-F904-4D72-9DE9-02AD5DAC2C10}">
  <sheetPr codeName="Foglio7"/>
  <dimension ref="A1:E43"/>
  <sheetViews>
    <sheetView topLeftCell="A25" zoomScale="115" zoomScaleNormal="115" workbookViewId="0">
      <selection activeCell="C6" sqref="C6"/>
    </sheetView>
  </sheetViews>
  <sheetFormatPr defaultRowHeight="14.4" x14ac:dyDescent="0.3"/>
  <cols>
    <col min="3" max="3" width="71.3984375" customWidth="1"/>
  </cols>
  <sheetData>
    <row r="1" spans="1:4" ht="16.149999999999999" x14ac:dyDescent="0.35">
      <c r="A1" s="45" t="s">
        <v>2</v>
      </c>
      <c r="B1" s="45" t="s">
        <v>3</v>
      </c>
      <c r="C1" s="45" t="s">
        <v>4</v>
      </c>
    </row>
    <row r="2" spans="1:4" x14ac:dyDescent="0.3">
      <c r="A2" s="15"/>
      <c r="B2" s="14" t="s">
        <v>107</v>
      </c>
      <c r="C2" s="56" t="s">
        <v>108</v>
      </c>
      <c r="D2" s="68"/>
    </row>
    <row r="3" spans="1:4" ht="54" customHeight="1" x14ac:dyDescent="0.3">
      <c r="A3" s="15"/>
      <c r="B3" s="14" t="s">
        <v>107</v>
      </c>
      <c r="C3" s="57" t="s">
        <v>109</v>
      </c>
      <c r="D3" s="68"/>
    </row>
    <row r="4" spans="1:4" ht="28.8" x14ac:dyDescent="0.3">
      <c r="A4" s="15"/>
      <c r="B4" s="14" t="s">
        <v>107</v>
      </c>
      <c r="C4" s="57" t="s">
        <v>110</v>
      </c>
      <c r="D4" s="68"/>
    </row>
    <row r="5" spans="1:4" x14ac:dyDescent="0.3">
      <c r="A5" s="15">
        <v>20121</v>
      </c>
      <c r="B5" s="14" t="s">
        <v>107</v>
      </c>
      <c r="C5" s="56" t="s">
        <v>111</v>
      </c>
      <c r="D5" s="68"/>
    </row>
    <row r="6" spans="1:4" ht="114.05" x14ac:dyDescent="0.3">
      <c r="A6" s="131" t="s">
        <v>39</v>
      </c>
      <c r="B6" s="131"/>
      <c r="C6" s="70" t="s">
        <v>394</v>
      </c>
    </row>
    <row r="7" spans="1:4" ht="28.8" x14ac:dyDescent="0.3">
      <c r="A7" s="15">
        <v>9001</v>
      </c>
      <c r="B7" s="15" t="s">
        <v>112</v>
      </c>
      <c r="C7" s="57" t="s">
        <v>113</v>
      </c>
      <c r="D7" s="68"/>
    </row>
    <row r="8" spans="1:4" ht="15" customHeight="1" x14ac:dyDescent="0.3">
      <c r="A8" s="132" t="s">
        <v>39</v>
      </c>
      <c r="B8" s="133"/>
      <c r="C8" s="124" t="s">
        <v>342</v>
      </c>
    </row>
    <row r="9" spans="1:4" ht="28.8" x14ac:dyDescent="0.3">
      <c r="A9" s="134">
        <v>9001</v>
      </c>
      <c r="B9" s="134" t="s">
        <v>114</v>
      </c>
      <c r="C9" s="57" t="s">
        <v>355</v>
      </c>
      <c r="D9" s="68"/>
    </row>
    <row r="10" spans="1:4" x14ac:dyDescent="0.3">
      <c r="A10" s="134"/>
      <c r="B10" s="134"/>
      <c r="C10" s="57" t="s">
        <v>356</v>
      </c>
      <c r="D10" s="68"/>
    </row>
    <row r="11" spans="1:4" ht="43.2" x14ac:dyDescent="0.3">
      <c r="A11" s="16" t="s">
        <v>339</v>
      </c>
      <c r="B11" s="15" t="s">
        <v>112</v>
      </c>
      <c r="C11" s="15" t="s">
        <v>354</v>
      </c>
      <c r="D11" s="68"/>
    </row>
    <row r="12" spans="1:4" ht="25.35" x14ac:dyDescent="0.3">
      <c r="A12" s="132" t="s">
        <v>39</v>
      </c>
      <c r="B12" s="133"/>
      <c r="C12" s="125" t="s">
        <v>353</v>
      </c>
      <c r="D12" s="66"/>
    </row>
    <row r="13" spans="1:4" ht="57.6" x14ac:dyDescent="0.3">
      <c r="A13" s="15">
        <v>37301</v>
      </c>
      <c r="B13" s="15" t="s">
        <v>112</v>
      </c>
      <c r="C13" s="57" t="s">
        <v>319</v>
      </c>
      <c r="D13" s="68"/>
    </row>
    <row r="14" spans="1:4" ht="50.7" x14ac:dyDescent="0.3">
      <c r="A14" s="132" t="s">
        <v>39</v>
      </c>
      <c r="B14" s="133"/>
      <c r="C14" s="119" t="s">
        <v>320</v>
      </c>
    </row>
    <row r="15" spans="1:4" ht="28.8" x14ac:dyDescent="0.3">
      <c r="A15" s="15">
        <v>37301</v>
      </c>
      <c r="B15" s="15" t="s">
        <v>114</v>
      </c>
      <c r="C15" s="57" t="s">
        <v>321</v>
      </c>
      <c r="D15" s="68"/>
    </row>
    <row r="16" spans="1:4" ht="65.95" customHeight="1" x14ac:dyDescent="0.3">
      <c r="A16" s="132" t="s">
        <v>39</v>
      </c>
      <c r="B16" s="133"/>
      <c r="C16" s="119" t="s">
        <v>322</v>
      </c>
      <c r="D16" s="66"/>
    </row>
    <row r="17" spans="1:4" ht="216" x14ac:dyDescent="0.3">
      <c r="A17" s="15">
        <v>37301</v>
      </c>
      <c r="B17" s="15" t="s">
        <v>115</v>
      </c>
      <c r="C17" s="57" t="s">
        <v>323</v>
      </c>
      <c r="D17" s="68"/>
    </row>
    <row r="18" spans="1:4" ht="105.55" customHeight="1" x14ac:dyDescent="0.3">
      <c r="A18" s="132" t="s">
        <v>39</v>
      </c>
      <c r="B18" s="133"/>
      <c r="C18" s="119" t="s">
        <v>324</v>
      </c>
    </row>
    <row r="19" spans="1:4" ht="43.2" x14ac:dyDescent="0.3">
      <c r="A19" s="15">
        <v>37301</v>
      </c>
      <c r="B19" s="15" t="s">
        <v>116</v>
      </c>
      <c r="C19" s="57" t="s">
        <v>325</v>
      </c>
      <c r="D19" s="68"/>
    </row>
    <row r="20" spans="1:4" ht="63.65" customHeight="1" x14ac:dyDescent="0.3">
      <c r="A20" s="132" t="s">
        <v>39</v>
      </c>
      <c r="B20" s="133"/>
      <c r="C20" s="119" t="s">
        <v>326</v>
      </c>
    </row>
    <row r="21" spans="1:4" ht="25.35" x14ac:dyDescent="0.3">
      <c r="A21" s="50"/>
      <c r="B21" s="14" t="s">
        <v>117</v>
      </c>
      <c r="C21" s="50" t="s">
        <v>327</v>
      </c>
      <c r="D21" s="68"/>
    </row>
    <row r="22" spans="1:4" ht="25.35" x14ac:dyDescent="0.3">
      <c r="A22" s="50"/>
      <c r="B22" s="14" t="s">
        <v>117</v>
      </c>
      <c r="C22" s="50" t="s">
        <v>118</v>
      </c>
      <c r="D22" s="68"/>
    </row>
    <row r="23" spans="1:4" ht="38.049999999999997" x14ac:dyDescent="0.3">
      <c r="A23" s="50"/>
      <c r="B23" s="14" t="s">
        <v>117</v>
      </c>
      <c r="C23" s="50" t="s">
        <v>119</v>
      </c>
      <c r="D23" s="68"/>
    </row>
    <row r="24" spans="1:4" x14ac:dyDescent="0.3">
      <c r="A24" s="132" t="s">
        <v>39</v>
      </c>
      <c r="B24" s="133"/>
      <c r="C24" s="122"/>
    </row>
    <row r="25" spans="1:4" ht="83.95" customHeight="1" x14ac:dyDescent="0.3">
      <c r="A25" s="50">
        <v>39001</v>
      </c>
      <c r="B25" s="50" t="s">
        <v>117</v>
      </c>
      <c r="C25" s="50" t="s">
        <v>328</v>
      </c>
      <c r="D25" s="68"/>
    </row>
    <row r="26" spans="1:4" ht="83.95" customHeight="1" x14ac:dyDescent="0.3">
      <c r="A26" s="132" t="s">
        <v>39</v>
      </c>
      <c r="B26" s="133"/>
      <c r="C26" s="119" t="s">
        <v>329</v>
      </c>
    </row>
    <row r="27" spans="1:4" ht="25.35" x14ac:dyDescent="0.3">
      <c r="A27" s="50"/>
      <c r="B27" s="14" t="s">
        <v>120</v>
      </c>
      <c r="C27" s="50" t="s">
        <v>331</v>
      </c>
      <c r="D27" s="68"/>
    </row>
    <row r="28" spans="1:4" ht="25.35" x14ac:dyDescent="0.3">
      <c r="A28" s="50"/>
      <c r="B28" s="14" t="s">
        <v>120</v>
      </c>
      <c r="C28" s="50" t="s">
        <v>121</v>
      </c>
      <c r="D28" s="68"/>
    </row>
    <row r="29" spans="1:4" x14ac:dyDescent="0.3">
      <c r="A29" s="50"/>
      <c r="B29" s="14" t="s">
        <v>120</v>
      </c>
      <c r="C29" s="50" t="s">
        <v>122</v>
      </c>
      <c r="D29" s="68"/>
    </row>
    <row r="30" spans="1:4" x14ac:dyDescent="0.3">
      <c r="A30" s="50"/>
      <c r="B30" s="14" t="s">
        <v>120</v>
      </c>
      <c r="C30" s="50" t="s">
        <v>123</v>
      </c>
      <c r="D30" s="68"/>
    </row>
    <row r="31" spans="1:4" ht="38.049999999999997" x14ac:dyDescent="0.3">
      <c r="A31" s="50" t="s">
        <v>304</v>
      </c>
      <c r="B31" s="50" t="s">
        <v>332</v>
      </c>
      <c r="C31" s="50" t="s">
        <v>330</v>
      </c>
      <c r="D31" s="68"/>
    </row>
    <row r="32" spans="1:4" ht="50.7" x14ac:dyDescent="0.3">
      <c r="A32" s="50">
        <v>37001</v>
      </c>
      <c r="B32" s="50" t="s">
        <v>334</v>
      </c>
      <c r="C32" s="50" t="s">
        <v>333</v>
      </c>
      <c r="D32" s="68"/>
    </row>
    <row r="33" spans="1:5" x14ac:dyDescent="0.3">
      <c r="A33" s="131" t="s">
        <v>39</v>
      </c>
      <c r="B33" s="131"/>
      <c r="C33" s="123"/>
    </row>
    <row r="36" spans="1:5" ht="15" thickBot="1" x14ac:dyDescent="0.35">
      <c r="B36" s="7" t="s">
        <v>3</v>
      </c>
      <c r="C36" s="7" t="s">
        <v>29</v>
      </c>
      <c r="D36" s="7" t="s">
        <v>2</v>
      </c>
      <c r="E36" s="8" t="s">
        <v>30</v>
      </c>
    </row>
    <row r="37" spans="1:5" x14ac:dyDescent="0.3">
      <c r="B37" s="67"/>
      <c r="C37" s="67"/>
      <c r="D37" s="61"/>
      <c r="E37" s="61"/>
    </row>
    <row r="38" spans="1:5" x14ac:dyDescent="0.3">
      <c r="B38" s="68"/>
      <c r="C38" s="68"/>
      <c r="D38" s="58"/>
      <c r="E38" s="58"/>
    </row>
    <row r="39" spans="1:5" x14ac:dyDescent="0.3">
      <c r="B39" s="68"/>
      <c r="C39" s="68"/>
      <c r="D39" s="58"/>
      <c r="E39" s="58"/>
    </row>
    <row r="40" spans="1:5" x14ac:dyDescent="0.3">
      <c r="B40" s="68"/>
      <c r="C40" s="68"/>
      <c r="D40" s="58"/>
      <c r="E40" s="58"/>
    </row>
    <row r="41" spans="1:5" x14ac:dyDescent="0.3">
      <c r="B41" s="68"/>
      <c r="C41" s="68"/>
      <c r="D41" s="58"/>
      <c r="E41" s="58"/>
    </row>
    <row r="42" spans="1:5" x14ac:dyDescent="0.3">
      <c r="B42" s="68"/>
      <c r="C42" s="68"/>
      <c r="D42" s="58"/>
      <c r="E42" s="58"/>
    </row>
    <row r="43" spans="1:5" x14ac:dyDescent="0.3">
      <c r="B43" s="69"/>
      <c r="C43" s="69"/>
      <c r="D43" s="64"/>
      <c r="E43" s="64"/>
    </row>
  </sheetData>
  <sheetProtection formatCells="0" formatColumns="0" formatRows="0"/>
  <mergeCells count="12">
    <mergeCell ref="A33:B33"/>
    <mergeCell ref="A8:B8"/>
    <mergeCell ref="A26:B26"/>
    <mergeCell ref="A14:B14"/>
    <mergeCell ref="A18:B18"/>
    <mergeCell ref="A9:A10"/>
    <mergeCell ref="B9:B10"/>
    <mergeCell ref="A6:B6"/>
    <mergeCell ref="A16:B16"/>
    <mergeCell ref="A24:B24"/>
    <mergeCell ref="A12:B12"/>
    <mergeCell ref="A20:B20"/>
  </mergeCells>
  <dataValidations count="2">
    <dataValidation type="list" allowBlank="1" showInputMessage="1" showErrorMessage="1" sqref="E37:E43" xr:uid="{6153CFB5-0CC0-43EC-BF17-E2EFC995761F}">
      <formula1>"NCMin, NCMagg, Oss"</formula1>
    </dataValidation>
    <dataValidation type="list" allowBlank="1" showInputMessage="1" showErrorMessage="1" sqref="D25 D21:D23 D27:D32 D17 D19 D2:D7 D9:D11 D13:D15" xr:uid="{1ED5BF51-829C-44AD-88B4-AAE842763BA5}">
      <formula1>#REF!</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1C0F-B8E9-4B4C-A840-1D3C05A72CD6}">
  <sheetPr codeName="Foglio8"/>
  <dimension ref="A1:E15"/>
  <sheetViews>
    <sheetView topLeftCell="A3" workbookViewId="0">
      <selection activeCell="H5" sqref="H5"/>
    </sheetView>
  </sheetViews>
  <sheetFormatPr defaultRowHeight="14.4" x14ac:dyDescent="0.3"/>
  <cols>
    <col min="3" max="3" width="72.59765625" customWidth="1"/>
  </cols>
  <sheetData>
    <row r="1" spans="1:5" ht="16.149999999999999" x14ac:dyDescent="0.35">
      <c r="A1" s="45" t="s">
        <v>2</v>
      </c>
      <c r="B1" s="45" t="s">
        <v>3</v>
      </c>
      <c r="C1" s="45" t="s">
        <v>4</v>
      </c>
    </row>
    <row r="2" spans="1:5" ht="76.05" x14ac:dyDescent="0.3">
      <c r="A2" s="15"/>
      <c r="B2" s="14" t="s">
        <v>337</v>
      </c>
      <c r="C2" s="50" t="s">
        <v>338</v>
      </c>
      <c r="D2" s="68"/>
    </row>
    <row r="3" spans="1:5" ht="177.45" x14ac:dyDescent="0.3">
      <c r="A3" s="193" t="s">
        <v>39</v>
      </c>
      <c r="B3" s="194"/>
      <c r="C3" s="119" t="s">
        <v>395</v>
      </c>
    </row>
    <row r="4" spans="1:5" ht="63.4" x14ac:dyDescent="0.3">
      <c r="A4" s="15">
        <v>45001</v>
      </c>
      <c r="B4" s="15" t="s">
        <v>124</v>
      </c>
      <c r="C4" s="50" t="s">
        <v>335</v>
      </c>
      <c r="D4" s="68"/>
    </row>
    <row r="5" spans="1:5" ht="145.15" customHeight="1" x14ac:dyDescent="0.3">
      <c r="A5" s="134" t="s">
        <v>39</v>
      </c>
      <c r="B5" s="134"/>
      <c r="C5" s="120" t="s">
        <v>336</v>
      </c>
    </row>
    <row r="8" spans="1:5" ht="15" thickBot="1" x14ac:dyDescent="0.35">
      <c r="B8" s="7" t="s">
        <v>3</v>
      </c>
      <c r="C8" s="7" t="s">
        <v>29</v>
      </c>
      <c r="D8" s="7" t="s">
        <v>2</v>
      </c>
      <c r="E8" s="8" t="s">
        <v>30</v>
      </c>
    </row>
    <row r="9" spans="1:5" x14ac:dyDescent="0.3">
      <c r="B9" s="67"/>
      <c r="C9" s="67"/>
      <c r="D9" s="61"/>
      <c r="E9" s="61"/>
    </row>
    <row r="10" spans="1:5" x14ac:dyDescent="0.3">
      <c r="B10" s="68"/>
      <c r="C10" s="68"/>
      <c r="D10" s="58"/>
      <c r="E10" s="58"/>
    </row>
    <row r="11" spans="1:5" x14ac:dyDescent="0.3">
      <c r="B11" s="68"/>
      <c r="C11" s="68"/>
      <c r="D11" s="58"/>
      <c r="E11" s="58"/>
    </row>
    <row r="12" spans="1:5" x14ac:dyDescent="0.3">
      <c r="B12" s="68"/>
      <c r="C12" s="68"/>
      <c r="D12" s="58"/>
      <c r="E12" s="58"/>
    </row>
    <row r="13" spans="1:5" x14ac:dyDescent="0.3">
      <c r="B13" s="68"/>
      <c r="C13" s="68"/>
      <c r="D13" s="58"/>
      <c r="E13" s="58"/>
    </row>
    <row r="14" spans="1:5" x14ac:dyDescent="0.3">
      <c r="B14" s="68"/>
      <c r="C14" s="68"/>
      <c r="D14" s="58"/>
      <c r="E14" s="58"/>
    </row>
    <row r="15" spans="1:5" x14ac:dyDescent="0.3">
      <c r="B15" s="69"/>
      <c r="C15" s="69"/>
      <c r="D15" s="64"/>
      <c r="E15" s="64"/>
    </row>
  </sheetData>
  <sheetProtection formatCells="0" formatColumns="0" formatRows="0"/>
  <mergeCells count="2">
    <mergeCell ref="A3:B3"/>
    <mergeCell ref="A5:B5"/>
  </mergeCells>
  <dataValidations count="2">
    <dataValidation type="list" allowBlank="1" showInputMessage="1" showErrorMessage="1" sqref="E9:E15" xr:uid="{0A923C33-0D46-407A-A62A-76D061596C6A}">
      <formula1>"NCMin, NCMagg, Oss"</formula1>
    </dataValidation>
    <dataValidation type="list" allowBlank="1" showInputMessage="1" showErrorMessage="1" sqref="D2 D4" xr:uid="{AE3CAB21-76B2-42DF-A36F-F56E7A185B83}">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D63CB-3D86-4ED9-BC31-062FA6C97BD2}">
  <sheetPr codeName="Foglio9"/>
  <dimension ref="B1:I82"/>
  <sheetViews>
    <sheetView workbookViewId="0">
      <selection activeCell="F5" sqref="F1:F1048576"/>
    </sheetView>
  </sheetViews>
  <sheetFormatPr defaultRowHeight="14.4" x14ac:dyDescent="0.3"/>
  <cols>
    <col min="1" max="1" width="13.3984375" bestFit="1" customWidth="1"/>
    <col min="2" max="2" width="13.3984375" style="28" bestFit="1" customWidth="1"/>
    <col min="3" max="3" width="82.59765625" style="91" customWidth="1"/>
    <col min="4" max="4" width="14.59765625" style="28" customWidth="1"/>
    <col min="5" max="5" width="10.59765625" style="28" customWidth="1"/>
    <col min="6" max="7" width="8.8984375" customWidth="1"/>
    <col min="8" max="9" width="16.59765625" customWidth="1"/>
  </cols>
  <sheetData>
    <row r="1" spans="2:9" s="96" customFormat="1" ht="29.95" customHeight="1" x14ac:dyDescent="0.3">
      <c r="B1" s="195" t="s">
        <v>384</v>
      </c>
      <c r="C1" s="196"/>
      <c r="D1" s="196"/>
      <c r="E1" s="196"/>
      <c r="F1" s="196"/>
      <c r="G1" s="196"/>
      <c r="H1" s="196"/>
      <c r="I1" s="197"/>
    </row>
    <row r="2" spans="2:9" s="94" customFormat="1" ht="20.3" customHeight="1" x14ac:dyDescent="0.3">
      <c r="B2" s="100" t="s">
        <v>3</v>
      </c>
      <c r="C2" s="107" t="s">
        <v>29</v>
      </c>
      <c r="D2" s="101" t="s">
        <v>2</v>
      </c>
      <c r="E2" s="101" t="s">
        <v>30</v>
      </c>
      <c r="F2" s="198" t="s">
        <v>381</v>
      </c>
      <c r="G2" s="199"/>
      <c r="H2" s="200"/>
      <c r="I2" s="102">
        <f>COUNTIF($E$3:$E$82,"NCMagg")</f>
        <v>0</v>
      </c>
    </row>
    <row r="3" spans="2:9" x14ac:dyDescent="0.3">
      <c r="B3" s="104" t="e" cm="1">
        <f t="array" ref="B3">_xlfn._xlws.SORT(_xlfn.VSTACK(punto4[],punto5[],punto6[],punto7[],#REF!,punto8_2[],punto8_3[],punto8_4[],punto8_5[],punto9[],punto10[]),4,1)</f>
        <v>#REF!</v>
      </c>
      <c r="C3" s="90"/>
      <c r="D3" s="12"/>
      <c r="E3" s="12"/>
      <c r="F3" s="201" t="s">
        <v>382</v>
      </c>
      <c r="G3" s="202"/>
      <c r="H3" s="203"/>
      <c r="I3" s="102">
        <f>COUNTIF($E$3:$E$82,"NCMin")</f>
        <v>0</v>
      </c>
    </row>
    <row r="4" spans="2:9" ht="15" thickBot="1" x14ac:dyDescent="0.35">
      <c r="B4" s="104"/>
      <c r="C4" s="90"/>
      <c r="D4" s="12"/>
      <c r="E4" s="12"/>
      <c r="F4" s="204" t="s">
        <v>383</v>
      </c>
      <c r="G4" s="205"/>
      <c r="H4" s="206"/>
      <c r="I4" s="103">
        <f>COUNTIF($E$3:$E$82,"OSS")</f>
        <v>0</v>
      </c>
    </row>
    <row r="5" spans="2:9" x14ac:dyDescent="0.3">
      <c r="B5" s="104"/>
      <c r="C5" s="90"/>
      <c r="D5" s="12"/>
      <c r="E5" s="97"/>
    </row>
    <row r="6" spans="2:9" x14ac:dyDescent="0.3">
      <c r="B6" s="104"/>
      <c r="C6" s="90"/>
      <c r="D6" s="12"/>
      <c r="E6" s="97"/>
    </row>
    <row r="7" spans="2:9" x14ac:dyDescent="0.3">
      <c r="B7" s="104"/>
      <c r="C7" s="90"/>
      <c r="D7" s="12"/>
      <c r="E7" s="97"/>
    </row>
    <row r="8" spans="2:9" x14ac:dyDescent="0.3">
      <c r="B8" s="104"/>
      <c r="C8" s="90"/>
      <c r="D8" s="12"/>
      <c r="E8" s="97"/>
    </row>
    <row r="9" spans="2:9" x14ac:dyDescent="0.3">
      <c r="B9" s="104"/>
      <c r="C9" s="90"/>
      <c r="D9" s="12"/>
      <c r="E9" s="97"/>
    </row>
    <row r="10" spans="2:9" x14ac:dyDescent="0.3">
      <c r="B10" s="104"/>
      <c r="C10" s="90"/>
      <c r="D10" s="12"/>
      <c r="E10" s="97"/>
    </row>
    <row r="11" spans="2:9" x14ac:dyDescent="0.3">
      <c r="B11" s="104"/>
      <c r="C11" s="90"/>
      <c r="D11" s="12"/>
      <c r="E11" s="97"/>
    </row>
    <row r="12" spans="2:9" x14ac:dyDescent="0.3">
      <c r="B12" s="104"/>
      <c r="C12" s="90"/>
      <c r="D12" s="12"/>
      <c r="E12" s="97"/>
    </row>
    <row r="13" spans="2:9" x14ac:dyDescent="0.3">
      <c r="B13" s="104"/>
      <c r="C13" s="90"/>
      <c r="D13" s="12"/>
      <c r="E13" s="97"/>
    </row>
    <row r="14" spans="2:9" x14ac:dyDescent="0.3">
      <c r="B14" s="104"/>
      <c r="C14" s="90"/>
      <c r="D14" s="12"/>
      <c r="E14" s="97"/>
    </row>
    <row r="15" spans="2:9" x14ac:dyDescent="0.3">
      <c r="B15" s="104"/>
      <c r="C15" s="90"/>
      <c r="D15" s="12"/>
      <c r="E15" s="97"/>
    </row>
    <row r="16" spans="2:9" x14ac:dyDescent="0.3">
      <c r="B16" s="104"/>
      <c r="C16" s="90"/>
      <c r="D16" s="12"/>
      <c r="E16" s="97"/>
    </row>
    <row r="17" spans="2:5" x14ac:dyDescent="0.3">
      <c r="B17" s="104"/>
      <c r="C17" s="90"/>
      <c r="D17" s="12"/>
      <c r="E17" s="97"/>
    </row>
    <row r="18" spans="2:5" x14ac:dyDescent="0.3">
      <c r="B18" s="104"/>
      <c r="C18" s="90"/>
      <c r="D18" s="12"/>
      <c r="E18" s="97"/>
    </row>
    <row r="19" spans="2:5" x14ac:dyDescent="0.3">
      <c r="B19" s="104"/>
      <c r="C19" s="90"/>
      <c r="D19" s="12"/>
      <c r="E19" s="97"/>
    </row>
    <row r="20" spans="2:5" x14ac:dyDescent="0.3">
      <c r="B20" s="104"/>
      <c r="C20" s="90"/>
      <c r="D20" s="12"/>
      <c r="E20" s="97"/>
    </row>
    <row r="21" spans="2:5" x14ac:dyDescent="0.3">
      <c r="B21" s="104"/>
      <c r="C21" s="90"/>
      <c r="D21" s="12"/>
      <c r="E21" s="97"/>
    </row>
    <row r="22" spans="2:5" x14ac:dyDescent="0.3">
      <c r="B22" s="104"/>
      <c r="C22" s="90"/>
      <c r="D22" s="12"/>
      <c r="E22" s="97"/>
    </row>
    <row r="23" spans="2:5" x14ac:dyDescent="0.3">
      <c r="B23" s="104"/>
      <c r="C23" s="90"/>
      <c r="D23" s="12"/>
      <c r="E23" s="97"/>
    </row>
    <row r="24" spans="2:5" x14ac:dyDescent="0.3">
      <c r="B24" s="104"/>
      <c r="C24" s="90"/>
      <c r="D24" s="12"/>
      <c r="E24" s="97"/>
    </row>
    <row r="25" spans="2:5" x14ac:dyDescent="0.3">
      <c r="B25" s="104"/>
      <c r="C25" s="90"/>
      <c r="D25" s="12"/>
      <c r="E25" s="97"/>
    </row>
    <row r="26" spans="2:5" x14ac:dyDescent="0.3">
      <c r="B26" s="104"/>
      <c r="C26" s="90"/>
      <c r="D26" s="12"/>
      <c r="E26" s="97"/>
    </row>
    <row r="27" spans="2:5" x14ac:dyDescent="0.3">
      <c r="B27" s="105"/>
      <c r="C27" s="90"/>
      <c r="D27" s="12"/>
      <c r="E27" s="97"/>
    </row>
    <row r="28" spans="2:5" x14ac:dyDescent="0.3">
      <c r="B28" s="105"/>
      <c r="C28" s="90"/>
      <c r="D28" s="12"/>
      <c r="E28" s="97"/>
    </row>
    <row r="29" spans="2:5" x14ac:dyDescent="0.3">
      <c r="B29" s="105"/>
      <c r="C29" s="90"/>
      <c r="D29" s="12"/>
      <c r="E29" s="97"/>
    </row>
    <row r="30" spans="2:5" x14ac:dyDescent="0.3">
      <c r="B30" s="105"/>
      <c r="C30" s="90"/>
      <c r="D30" s="12"/>
      <c r="E30" s="97"/>
    </row>
    <row r="31" spans="2:5" x14ac:dyDescent="0.3">
      <c r="B31" s="105"/>
      <c r="C31" s="90"/>
      <c r="D31" s="12"/>
      <c r="E31" s="97"/>
    </row>
    <row r="32" spans="2:5" x14ac:dyDescent="0.3">
      <c r="B32" s="105"/>
      <c r="C32" s="90"/>
      <c r="D32" s="12"/>
      <c r="E32" s="97"/>
    </row>
    <row r="33" spans="2:5" x14ac:dyDescent="0.3">
      <c r="B33" s="105"/>
      <c r="C33" s="90"/>
      <c r="D33" s="12"/>
      <c r="E33" s="97"/>
    </row>
    <row r="34" spans="2:5" x14ac:dyDescent="0.3">
      <c r="B34" s="105"/>
      <c r="C34" s="90"/>
      <c r="D34" s="12"/>
      <c r="E34" s="97"/>
    </row>
    <row r="35" spans="2:5" x14ac:dyDescent="0.3">
      <c r="B35" s="105"/>
      <c r="C35" s="90"/>
      <c r="D35" s="12"/>
      <c r="E35" s="97"/>
    </row>
    <row r="36" spans="2:5" x14ac:dyDescent="0.3">
      <c r="B36" s="105"/>
      <c r="C36" s="90"/>
      <c r="D36" s="12"/>
      <c r="E36" s="97"/>
    </row>
    <row r="37" spans="2:5" x14ac:dyDescent="0.3">
      <c r="B37" s="105"/>
      <c r="C37" s="90"/>
      <c r="D37" s="12"/>
      <c r="E37" s="97"/>
    </row>
    <row r="38" spans="2:5" x14ac:dyDescent="0.3">
      <c r="B38" s="105"/>
      <c r="C38" s="90"/>
      <c r="D38" s="12"/>
      <c r="E38" s="97"/>
    </row>
    <row r="39" spans="2:5" x14ac:dyDescent="0.3">
      <c r="B39" s="105"/>
      <c r="C39" s="90"/>
      <c r="D39" s="12"/>
      <c r="E39" s="97"/>
    </row>
    <row r="40" spans="2:5" x14ac:dyDescent="0.3">
      <c r="B40" s="105"/>
      <c r="C40" s="90"/>
      <c r="D40" s="12"/>
      <c r="E40" s="97"/>
    </row>
    <row r="41" spans="2:5" x14ac:dyDescent="0.3">
      <c r="B41" s="105"/>
      <c r="C41" s="90"/>
      <c r="D41" s="12"/>
      <c r="E41" s="97"/>
    </row>
    <row r="42" spans="2:5" x14ac:dyDescent="0.3">
      <c r="B42" s="105"/>
      <c r="C42" s="90"/>
      <c r="D42" s="12"/>
      <c r="E42" s="97"/>
    </row>
    <row r="43" spans="2:5" x14ac:dyDescent="0.3">
      <c r="B43" s="105"/>
      <c r="C43" s="90"/>
      <c r="D43" s="12"/>
      <c r="E43" s="97"/>
    </row>
    <row r="44" spans="2:5" x14ac:dyDescent="0.3">
      <c r="B44" s="105"/>
      <c r="C44" s="90"/>
      <c r="D44" s="12"/>
      <c r="E44" s="97"/>
    </row>
    <row r="45" spans="2:5" x14ac:dyDescent="0.3">
      <c r="B45" s="105"/>
      <c r="C45" s="90"/>
      <c r="D45" s="12"/>
      <c r="E45" s="97"/>
    </row>
    <row r="46" spans="2:5" x14ac:dyDescent="0.3">
      <c r="B46" s="105"/>
      <c r="C46" s="90"/>
      <c r="D46" s="12"/>
      <c r="E46" s="97"/>
    </row>
    <row r="47" spans="2:5" x14ac:dyDescent="0.3">
      <c r="B47" s="105"/>
      <c r="C47" s="90"/>
      <c r="D47" s="12"/>
      <c r="E47" s="97"/>
    </row>
    <row r="48" spans="2:5" x14ac:dyDescent="0.3">
      <c r="B48" s="105"/>
      <c r="C48" s="90"/>
      <c r="D48" s="12"/>
      <c r="E48" s="97"/>
    </row>
    <row r="49" spans="2:5" x14ac:dyDescent="0.3">
      <c r="B49" s="105"/>
      <c r="C49" s="90"/>
      <c r="D49" s="12"/>
      <c r="E49" s="97"/>
    </row>
    <row r="50" spans="2:5" x14ac:dyDescent="0.3">
      <c r="B50" s="105"/>
      <c r="C50" s="90"/>
      <c r="D50" s="12"/>
      <c r="E50" s="97"/>
    </row>
    <row r="51" spans="2:5" x14ac:dyDescent="0.3">
      <c r="B51" s="105"/>
      <c r="C51" s="90"/>
      <c r="D51" s="12"/>
      <c r="E51" s="97"/>
    </row>
    <row r="52" spans="2:5" x14ac:dyDescent="0.3">
      <c r="B52" s="105"/>
      <c r="C52" s="90"/>
      <c r="D52" s="12"/>
      <c r="E52" s="97"/>
    </row>
    <row r="53" spans="2:5" x14ac:dyDescent="0.3">
      <c r="B53" s="105"/>
      <c r="C53" s="90"/>
      <c r="D53" s="12"/>
      <c r="E53" s="97"/>
    </row>
    <row r="54" spans="2:5" x14ac:dyDescent="0.3">
      <c r="B54" s="105"/>
      <c r="C54" s="90"/>
      <c r="D54" s="12"/>
      <c r="E54" s="97"/>
    </row>
    <row r="55" spans="2:5" x14ac:dyDescent="0.3">
      <c r="B55" s="105"/>
      <c r="C55" s="90"/>
      <c r="D55" s="12"/>
      <c r="E55" s="97"/>
    </row>
    <row r="56" spans="2:5" x14ac:dyDescent="0.3">
      <c r="B56" s="105"/>
      <c r="C56" s="90"/>
      <c r="D56" s="12"/>
      <c r="E56" s="97"/>
    </row>
    <row r="57" spans="2:5" x14ac:dyDescent="0.3">
      <c r="B57" s="105"/>
      <c r="C57" s="90"/>
      <c r="D57" s="12"/>
      <c r="E57" s="97"/>
    </row>
    <row r="58" spans="2:5" x14ac:dyDescent="0.3">
      <c r="B58" s="105"/>
      <c r="C58" s="90"/>
      <c r="D58" s="12"/>
      <c r="E58" s="97"/>
    </row>
    <row r="59" spans="2:5" x14ac:dyDescent="0.3">
      <c r="B59" s="105"/>
      <c r="C59" s="90"/>
      <c r="D59" s="12"/>
      <c r="E59" s="97"/>
    </row>
    <row r="60" spans="2:5" x14ac:dyDescent="0.3">
      <c r="B60" s="105"/>
      <c r="C60" s="90"/>
      <c r="D60" s="12"/>
      <c r="E60" s="97"/>
    </row>
    <row r="61" spans="2:5" x14ac:dyDescent="0.3">
      <c r="B61" s="105"/>
      <c r="C61" s="90"/>
      <c r="D61" s="12"/>
      <c r="E61" s="97"/>
    </row>
    <row r="62" spans="2:5" x14ac:dyDescent="0.3">
      <c r="B62" s="105"/>
      <c r="C62" s="90"/>
      <c r="D62" s="12"/>
      <c r="E62" s="97"/>
    </row>
    <row r="63" spans="2:5" x14ac:dyDescent="0.3">
      <c r="B63" s="105"/>
      <c r="C63" s="90"/>
      <c r="D63" s="12"/>
      <c r="E63" s="97"/>
    </row>
    <row r="64" spans="2:5" x14ac:dyDescent="0.3">
      <c r="B64" s="105"/>
      <c r="C64" s="90"/>
      <c r="D64" s="12"/>
      <c r="E64" s="97"/>
    </row>
    <row r="65" spans="2:5" x14ac:dyDescent="0.3">
      <c r="B65" s="105"/>
      <c r="C65" s="90"/>
      <c r="D65" s="12"/>
      <c r="E65" s="97"/>
    </row>
    <row r="66" spans="2:5" x14ac:dyDescent="0.3">
      <c r="B66" s="105"/>
      <c r="C66" s="90"/>
      <c r="D66" s="12"/>
      <c r="E66" s="97"/>
    </row>
    <row r="67" spans="2:5" x14ac:dyDescent="0.3">
      <c r="B67" s="105"/>
      <c r="C67" s="90"/>
      <c r="D67" s="12"/>
      <c r="E67" s="97"/>
    </row>
    <row r="68" spans="2:5" x14ac:dyDescent="0.3">
      <c r="B68" s="105"/>
      <c r="C68" s="90"/>
      <c r="D68" s="12"/>
      <c r="E68" s="97"/>
    </row>
    <row r="69" spans="2:5" x14ac:dyDescent="0.3">
      <c r="B69" s="105"/>
      <c r="C69" s="90"/>
      <c r="D69" s="12"/>
      <c r="E69" s="97"/>
    </row>
    <row r="70" spans="2:5" x14ac:dyDescent="0.3">
      <c r="B70" s="105"/>
      <c r="C70" s="90"/>
      <c r="D70" s="12"/>
      <c r="E70" s="97"/>
    </row>
    <row r="71" spans="2:5" x14ac:dyDescent="0.3">
      <c r="B71" s="105"/>
      <c r="C71" s="90"/>
      <c r="D71" s="12"/>
      <c r="E71" s="97"/>
    </row>
    <row r="72" spans="2:5" x14ac:dyDescent="0.3">
      <c r="B72" s="105"/>
      <c r="C72" s="90"/>
      <c r="D72" s="12"/>
      <c r="E72" s="97"/>
    </row>
    <row r="73" spans="2:5" x14ac:dyDescent="0.3">
      <c r="B73" s="105"/>
      <c r="C73" s="90"/>
      <c r="D73" s="12"/>
      <c r="E73" s="97"/>
    </row>
    <row r="74" spans="2:5" x14ac:dyDescent="0.3">
      <c r="B74" s="105"/>
      <c r="C74" s="90"/>
      <c r="D74" s="12"/>
      <c r="E74" s="97"/>
    </row>
    <row r="75" spans="2:5" x14ac:dyDescent="0.3">
      <c r="B75" s="105"/>
      <c r="C75" s="90"/>
      <c r="D75" s="12"/>
      <c r="E75" s="97"/>
    </row>
    <row r="76" spans="2:5" x14ac:dyDescent="0.3">
      <c r="B76" s="105"/>
      <c r="C76" s="90"/>
      <c r="D76" s="12"/>
      <c r="E76" s="97"/>
    </row>
    <row r="77" spans="2:5" x14ac:dyDescent="0.3">
      <c r="B77" s="105"/>
      <c r="C77" s="90"/>
      <c r="D77" s="12"/>
      <c r="E77" s="97"/>
    </row>
    <row r="78" spans="2:5" x14ac:dyDescent="0.3">
      <c r="B78" s="105"/>
      <c r="C78" s="90"/>
      <c r="D78" s="12"/>
      <c r="E78" s="97"/>
    </row>
    <row r="79" spans="2:5" x14ac:dyDescent="0.3">
      <c r="B79" s="105"/>
      <c r="C79" s="90"/>
      <c r="D79" s="12"/>
      <c r="E79" s="97"/>
    </row>
    <row r="80" spans="2:5" x14ac:dyDescent="0.3">
      <c r="B80" s="105"/>
      <c r="C80" s="90"/>
      <c r="D80" s="12"/>
      <c r="E80" s="97"/>
    </row>
    <row r="81" spans="2:5" x14ac:dyDescent="0.3">
      <c r="B81" s="105"/>
      <c r="C81" s="90"/>
      <c r="D81" s="12"/>
      <c r="E81" s="97"/>
    </row>
    <row r="82" spans="2:5" ht="15" thickBot="1" x14ac:dyDescent="0.35">
      <c r="B82" s="106"/>
      <c r="C82" s="98"/>
      <c r="D82" s="13"/>
      <c r="E82" s="99"/>
    </row>
  </sheetData>
  <sheetProtection algorithmName="SHA-512" hashValue="JunEOHSdv9RCKl5BLGS5FK3X+bXI3NZft/CrBPduOxsVGWWbmytm23LCoFcnja/a6TVa6AgEEOtjOr4D6MTEng==" saltValue="ZXEY8IAdAxqvEWxHkSVo2g==" spinCount="100000" sheet="1" objects="1" scenarios="1" formatCells="0" formatColumns="0" formatRows="0"/>
  <autoFilter ref="B2:E82" xr:uid="{703D63CB-3D86-4ED9-BC31-062FA6C97BD2}"/>
  <mergeCells count="4">
    <mergeCell ref="B1:I1"/>
    <mergeCell ref="F2:H2"/>
    <mergeCell ref="F3:H3"/>
    <mergeCell ref="F4:H4"/>
  </mergeCells>
  <dataValidations count="1">
    <dataValidation type="list" allowBlank="1" showInputMessage="1" showErrorMessage="1" sqref="D3:D26" xr:uid="{754424F1-E58A-4353-B98F-554C7A9BD989}">
      <formula1>"NCMin, NCMagg, Oss"</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o" ma:contentTypeID="0x0101008B0FCD0A7969AA4E8D5CBE511C450D01" ma:contentTypeVersion="3" ma:contentTypeDescription="Creare un nuovo documento." ma:contentTypeScope="" ma:versionID="37ec42e6f345146f3c087736a26bb67f">
  <xsd:schema xmlns:xsd="http://www.w3.org/2001/XMLSchema" xmlns:xs="http://www.w3.org/2001/XMLSchema" xmlns:p="http://schemas.microsoft.com/office/2006/metadata/properties" xmlns:ns2="9e764c60-aada-432c-a992-8d74198d1e78" targetNamespace="http://schemas.microsoft.com/office/2006/metadata/properties" ma:root="true" ma:fieldsID="3707950dde335e4fe0cce398cfdadc87" ns2:_="">
    <xsd:import namespace="9e764c60-aada-432c-a992-8d74198d1e78"/>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764c60-aada-432c-a992-8d74198d1e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8CF9AE4-FE45-466A-AA41-B7BBC1C579D7}">
  <ds:schemaRefs>
    <ds:schemaRef ds:uri="http://schemas.microsoft.com/DataMashup"/>
  </ds:schemaRefs>
</ds:datastoreItem>
</file>

<file path=customXml/itemProps2.xml><?xml version="1.0" encoding="utf-8"?>
<ds:datastoreItem xmlns:ds="http://schemas.openxmlformats.org/officeDocument/2006/customXml" ds:itemID="{186D3243-1048-4C35-90D7-EE50CE65F6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e764c60-aada-432c-a992-8d74198d1e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38CA503-4A4E-40CA-AF13-41EF7D176B7E}">
  <ds:schemaRefs>
    <ds:schemaRef ds:uri="http://schemas.microsoft.com/sharepoint/v3/contenttype/forms"/>
  </ds:schemaRefs>
</ds:datastoreItem>
</file>

<file path=customXml/itemProps4.xml><?xml version="1.0" encoding="utf-8"?>
<ds:datastoreItem xmlns:ds="http://schemas.openxmlformats.org/officeDocument/2006/customXml" ds:itemID="{E13BA7C3-C8A6-4141-8E18-0A5FFE39343D}">
  <ds:schemaRefs>
    <ds:schemaRef ds:uri="http://purl.org/dc/dcmitype/"/>
    <ds:schemaRef ds:uri="http://purl.org/dc/terms/"/>
    <ds:schemaRef ds:uri="http://schemas.microsoft.com/office/2006/documentManagement/types"/>
    <ds:schemaRef ds:uri="http://www.w3.org/XML/1998/namespace"/>
    <ds:schemaRef ds:uri="http://schemas.openxmlformats.org/package/2006/metadata/core-properties"/>
    <ds:schemaRef ds:uri="http://schemas.microsoft.com/office/infopath/2007/PartnerControls"/>
    <ds:schemaRef ds:uri="9e764c60-aada-432c-a992-8d74198d1e78"/>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4. Analisi del Contesto</vt:lpstr>
      <vt:lpstr>5. Leadership</vt:lpstr>
      <vt:lpstr>6. Pianificazione</vt:lpstr>
      <vt:lpstr>7. Supporto</vt:lpstr>
      <vt:lpstr>8. Att. Operative</vt:lpstr>
      <vt:lpstr>8. Att. Operative - PR 2</vt:lpstr>
      <vt:lpstr>8. Att. Operative - PR 3</vt:lpstr>
      <vt:lpstr>8. Att. Operative - PR 4</vt:lpstr>
      <vt:lpstr>8. Att. Operative - PR 5</vt:lpstr>
      <vt:lpstr>9. Monitoraggio</vt:lpstr>
      <vt:lpstr>10. Miglioramento continui</vt:lpstr>
      <vt:lpstr>Rilievi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Daniele  Cerbarano</dc:creator>
  <cp:lastModifiedBy>Alessandro Pace</cp:lastModifiedBy>
  <dcterms:created xsi:type="dcterms:W3CDTF">2025-08-04T08:03:21Z</dcterms:created>
  <dcterms:modified xsi:type="dcterms:W3CDTF">2026-04-27T08:50:07Z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0x0101008B0FCD0A7969AA4E8D5CBE511C450D01</vt:lpwstr>
  </property>
</Properties>
</file>